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D:\DATN_Document\Document_DaSua\"/>
    </mc:Choice>
  </mc:AlternateContent>
  <xr:revisionPtr revIDLastSave="0" documentId="13_ncr:1_{10F13EC3-0106-4C77-96B1-617ABF6BA14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print 1" sheetId="1" r:id="rId1"/>
    <sheet name="Sprint 2" sheetId="2" r:id="rId2"/>
    <sheet name="Sprint 3" sheetId="3" r:id="rId3"/>
    <sheet name="Tot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86" i="1" l="1"/>
  <c r="T85" i="1"/>
  <c r="S86" i="1"/>
  <c r="P86" i="1"/>
  <c r="P85" i="1"/>
  <c r="O86" i="1"/>
  <c r="O85" i="1"/>
  <c r="N86" i="1"/>
  <c r="N85" i="1"/>
  <c r="M86" i="1"/>
  <c r="AK113" i="3"/>
  <c r="AJ113" i="3"/>
  <c r="AJ112" i="3"/>
  <c r="AI113" i="3"/>
  <c r="AF113" i="3"/>
  <c r="AF112" i="3"/>
  <c r="AE113" i="3"/>
  <c r="AB113" i="3"/>
  <c r="AB112" i="3"/>
  <c r="AA113" i="3"/>
  <c r="U113" i="3"/>
  <c r="U112" i="3"/>
  <c r="T113" i="3"/>
  <c r="R113" i="3"/>
  <c r="R112" i="3"/>
  <c r="Q113" i="3"/>
  <c r="Q112" i="3"/>
  <c r="P113" i="3"/>
  <c r="N113" i="3"/>
  <c r="N112" i="3"/>
  <c r="M113" i="3"/>
  <c r="K113" i="3"/>
  <c r="K112" i="3"/>
  <c r="J113" i="3"/>
  <c r="T91" i="2"/>
  <c r="T90" i="2"/>
  <c r="S91" i="2"/>
  <c r="S90" i="2"/>
  <c r="R91" i="2"/>
  <c r="R90" i="2"/>
  <c r="Q91" i="2"/>
  <c r="Q90" i="2"/>
  <c r="P91" i="2"/>
  <c r="O91" i="2"/>
  <c r="O90" i="2"/>
  <c r="N91" i="2"/>
  <c r="N90" i="2"/>
  <c r="M91" i="2"/>
  <c r="J91" i="2"/>
  <c r="J90" i="2"/>
  <c r="I91" i="2"/>
  <c r="R86" i="1"/>
  <c r="Q85" i="1" l="1"/>
  <c r="V91" i="2"/>
  <c r="K91" i="2"/>
  <c r="K90" i="2"/>
  <c r="Z112" i="3"/>
  <c r="W112" i="3"/>
  <c r="S112" i="3"/>
  <c r="O112" i="3"/>
  <c r="Z113" i="3"/>
  <c r="Y113" i="3"/>
  <c r="W113" i="3"/>
  <c r="V113" i="3"/>
  <c r="S113" i="3"/>
  <c r="AM113" i="3"/>
  <c r="AM112" i="3"/>
  <c r="AL113" i="3"/>
  <c r="AL112" i="3"/>
  <c r="AK112" i="3"/>
  <c r="AI112" i="3"/>
  <c r="AH113" i="3"/>
  <c r="AH112" i="3"/>
  <c r="AG113" i="3"/>
  <c r="AG112" i="3"/>
  <c r="AE112" i="3"/>
  <c r="AD113" i="3"/>
  <c r="AD112" i="3"/>
  <c r="AC112" i="3"/>
  <c r="E11" i="3"/>
  <c r="I6" i="4" s="1"/>
  <c r="D11" i="3"/>
  <c r="H6" i="4" s="1"/>
  <c r="E10" i="3"/>
  <c r="G6" i="4" s="1"/>
  <c r="D10" i="3"/>
  <c r="F6" i="4" s="1"/>
  <c r="E9" i="3"/>
  <c r="E6" i="4" s="1"/>
  <c r="D9" i="3"/>
  <c r="D6" i="4" s="1"/>
  <c r="E8" i="3"/>
  <c r="C6" i="4" s="1"/>
  <c r="D8" i="3"/>
  <c r="B6" i="4" s="1"/>
  <c r="E11" i="2"/>
  <c r="I5" i="4" s="1"/>
  <c r="D11" i="2"/>
  <c r="H5" i="4" s="1"/>
  <c r="E10" i="2"/>
  <c r="G5" i="4" s="1"/>
  <c r="D10" i="2"/>
  <c r="F5" i="4" s="1"/>
  <c r="E9" i="2"/>
  <c r="E5" i="4" s="1"/>
  <c r="D9" i="2"/>
  <c r="D5" i="4" s="1"/>
  <c r="E8" i="2"/>
  <c r="C5" i="4" s="1"/>
  <c r="D8" i="2"/>
  <c r="B5" i="4" s="1"/>
  <c r="E11" i="1"/>
  <c r="I4" i="4" s="1"/>
  <c r="D11" i="1"/>
  <c r="H4" i="4" s="1"/>
  <c r="E10" i="1"/>
  <c r="G4" i="4" s="1"/>
  <c r="D10" i="1"/>
  <c r="F4" i="4" s="1"/>
  <c r="E9" i="1"/>
  <c r="D9" i="1"/>
  <c r="E8" i="1"/>
  <c r="C4" i="4" s="1"/>
  <c r="D8" i="1"/>
  <c r="B4" i="4" s="1"/>
  <c r="AC113" i="3"/>
  <c r="X113" i="3"/>
  <c r="O113" i="3"/>
  <c r="L113" i="3"/>
  <c r="I113" i="3"/>
  <c r="G113" i="3"/>
  <c r="AA112" i="3"/>
  <c r="Y112" i="3"/>
  <c r="X112" i="3"/>
  <c r="V112" i="3"/>
  <c r="T112" i="3"/>
  <c r="P112" i="3"/>
  <c r="M112" i="3"/>
  <c r="L112" i="3"/>
  <c r="J112" i="3"/>
  <c r="I112" i="3"/>
  <c r="G112" i="3"/>
  <c r="Y91" i="2"/>
  <c r="X91" i="2"/>
  <c r="W91" i="2"/>
  <c r="U91" i="2"/>
  <c r="L91" i="2"/>
  <c r="G91" i="2"/>
  <c r="Y90" i="2"/>
  <c r="X90" i="2"/>
  <c r="W90" i="2"/>
  <c r="V90" i="2"/>
  <c r="U90" i="2"/>
  <c r="P90" i="2"/>
  <c r="M90" i="2"/>
  <c r="L90" i="2"/>
  <c r="I90" i="2"/>
  <c r="G90" i="2"/>
  <c r="X86" i="1"/>
  <c r="W86" i="1"/>
  <c r="V86" i="1"/>
  <c r="U86" i="1"/>
  <c r="Q86" i="1"/>
  <c r="L86" i="1"/>
  <c r="K86" i="1"/>
  <c r="J86" i="1"/>
  <c r="I86" i="1"/>
  <c r="G86" i="1"/>
  <c r="X85" i="1"/>
  <c r="W85" i="1"/>
  <c r="V85" i="1"/>
  <c r="U85" i="1"/>
  <c r="S85" i="1"/>
  <c r="R85" i="1"/>
  <c r="M85" i="1"/>
  <c r="L85" i="1"/>
  <c r="K85" i="1"/>
  <c r="J85" i="1"/>
  <c r="I85" i="1"/>
  <c r="G85" i="1"/>
  <c r="E12" i="2" l="1"/>
  <c r="D12" i="2"/>
  <c r="E12" i="1"/>
  <c r="D12" i="1"/>
  <c r="D4" i="4"/>
  <c r="D7" i="4" s="1"/>
  <c r="C7" i="4"/>
  <c r="H7" i="4"/>
  <c r="F7" i="4"/>
  <c r="G7" i="4"/>
  <c r="I7" i="4"/>
  <c r="B7" i="4"/>
  <c r="D13" i="3"/>
  <c r="E13" i="3"/>
  <c r="F11" i="4" l="1"/>
  <c r="E4" i="4"/>
  <c r="E7" i="4" s="1"/>
  <c r="F12" i="4" s="1"/>
</calcChain>
</file>

<file path=xl/sharedStrings.xml><?xml version="1.0" encoding="utf-8"?>
<sst xmlns="http://schemas.openxmlformats.org/spreadsheetml/2006/main" count="563" uniqueCount="244">
  <si>
    <t>Project name:</t>
  </si>
  <si>
    <t>Kết thúc đúng hạn</t>
  </si>
  <si>
    <t>Module name:</t>
  </si>
  <si>
    <t>Sprint 1</t>
  </si>
  <si>
    <t>Muộn</t>
  </si>
  <si>
    <t>Start date:</t>
  </si>
  <si>
    <t>Trước thời hạn</t>
  </si>
  <si>
    <t>End date:</t>
  </si>
  <si>
    <t>SPRINT 1 REPORT</t>
  </si>
  <si>
    <t>No</t>
  </si>
  <si>
    <t>Thành viên</t>
  </si>
  <si>
    <t>Thực tế</t>
  </si>
  <si>
    <t>Ước tính</t>
  </si>
  <si>
    <t>Tổng</t>
  </si>
  <si>
    <t>Sprint</t>
  </si>
  <si>
    <t>Compoment</t>
  </si>
  <si>
    <t>Task name</t>
  </si>
  <si>
    <t>Responsible Member</t>
  </si>
  <si>
    <t>Họp kế hoạch Sprint</t>
  </si>
  <si>
    <t>All team</t>
  </si>
  <si>
    <t>Tạo Sprint Backlog 1</t>
  </si>
  <si>
    <t>Tạo tài liệu kiểm thử cho Sprint</t>
  </si>
  <si>
    <t>User interface design</t>
  </si>
  <si>
    <t>Giao diện đăng nhập</t>
  </si>
  <si>
    <t>Giao diện đăng xuất</t>
  </si>
  <si>
    <t>Giao diện đổi mật khẩu</t>
  </si>
  <si>
    <t>Giao diện chủ</t>
  </si>
  <si>
    <t>Giao diện chi tiết tour</t>
  </si>
  <si>
    <t>Giao diện banner</t>
  </si>
  <si>
    <t>Giao diện xem thông tin cá nhân</t>
  </si>
  <si>
    <t>Giao diện phân quyền</t>
  </si>
  <si>
    <t>Review all user interfaces of sprint 1</t>
  </si>
  <si>
    <t>Design test case</t>
  </si>
  <si>
    <t>s</t>
  </si>
  <si>
    <t>Review all test case of sprint 1</t>
  </si>
  <si>
    <t>Coding</t>
  </si>
  <si>
    <t>Thiết kê front-end cho đăng nhập</t>
  </si>
  <si>
    <t>Code back-end cho đăng nhập</t>
  </si>
  <si>
    <t>Code front-end cho đăng xuất</t>
  </si>
  <si>
    <t>Code back-end cho đăng xuất</t>
  </si>
  <si>
    <t>Thiết kê front-end cho đổi mật khẩu</t>
  </si>
  <si>
    <t>Code back-end cho đổi mật khẩu</t>
  </si>
  <si>
    <t>Thiết kê front-end cho trang chủ</t>
  </si>
  <si>
    <t>Code back-end cho trang chủ</t>
  </si>
  <si>
    <t>Thiết kê front-end cho chi tiết tour</t>
  </si>
  <si>
    <t>Code back-end cho chi tiết tour</t>
  </si>
  <si>
    <t xml:space="preserve">Thiết kê front-end cho banner </t>
  </si>
  <si>
    <t>Code back-end cho banner</t>
  </si>
  <si>
    <t>Thiết kê front-end cho xem thông tin cá nhân</t>
  </si>
  <si>
    <t>Code back-end cho xem thông tin cá nhân</t>
  </si>
  <si>
    <t>Thiết kê front-end cho quản lý phân quyền</t>
  </si>
  <si>
    <t xml:space="preserve">Code back-end cho quản lý phân quyền </t>
  </si>
  <si>
    <t xml:space="preserve">Integrate code </t>
  </si>
  <si>
    <t>Testing</t>
  </si>
  <si>
    <t>Kiểm tra đăng nhập</t>
  </si>
  <si>
    <t>Kiểm tra đăng xuất</t>
  </si>
  <si>
    <t>Kiểm tra đổi mật khẩu</t>
  </si>
  <si>
    <t xml:space="preserve">Kiểm tra trang chủ </t>
  </si>
  <si>
    <t>Kiểm tra chi tiết tour</t>
  </si>
  <si>
    <t>Kiểm tra xem thông tin cá nhân</t>
  </si>
  <si>
    <t>Kiểm tra quản lý phân quyền</t>
  </si>
  <si>
    <t>Kiểm tra banner</t>
  </si>
  <si>
    <t>Fix Bug</t>
  </si>
  <si>
    <t>Sửa lỗi đăng nhập</t>
  </si>
  <si>
    <t>Sửa lỗi đăng xuất</t>
  </si>
  <si>
    <t>Sửa lỗi đổi mật khẩu</t>
  </si>
  <si>
    <t>Sửa lỗi trang chủ</t>
  </si>
  <si>
    <t>Sửa lỗi chi tiết tour</t>
  </si>
  <si>
    <t>Sửa lỗi quản lý phân quyền</t>
  </si>
  <si>
    <t>Sửa lỗi xem thông tin cá nhân</t>
  </si>
  <si>
    <t>Sửa lỗi banner</t>
  </si>
  <si>
    <t>Re-testing</t>
  </si>
  <si>
    <t>Kiểm tra lại đăng nhập</t>
  </si>
  <si>
    <t>Kiểm tra lại đăng xuất</t>
  </si>
  <si>
    <t>Kiểm tra lại quên mật khẩu</t>
  </si>
  <si>
    <t>Kiểm tra lại trang chủ</t>
  </si>
  <si>
    <t>Kiểm tra lại chi tiết tour</t>
  </si>
  <si>
    <t>Kiểm tra lại xem thông tin cá nhân</t>
  </si>
  <si>
    <t>Kiểm tra lại quản lý phân quyền</t>
  </si>
  <si>
    <t>Kiểm tra lại banner</t>
  </si>
  <si>
    <t>Release Sprint 1</t>
  </si>
  <si>
    <t>Sprint 1 review meeting</t>
  </si>
  <si>
    <t>Sprint 1 retrospective</t>
  </si>
  <si>
    <t>Kết thúc</t>
  </si>
  <si>
    <t>Sprint 2</t>
  </si>
  <si>
    <t>Tăng ca</t>
  </si>
  <si>
    <t>Chậm tiến độ</t>
  </si>
  <si>
    <t>SPRINT 2 REPORT</t>
  </si>
  <si>
    <t>Tạo Sprint Backlog 2</t>
  </si>
  <si>
    <t xml:space="preserve">Tạo tài liệu kiểm thử cho Sprint </t>
  </si>
  <si>
    <t>Giao diện giỏ hàng</t>
  </si>
  <si>
    <t>Giao diện xem hotel</t>
  </si>
  <si>
    <t>Giao diện danh mục</t>
  </si>
  <si>
    <t>Giao diện liên hệ</t>
  </si>
  <si>
    <t>Giao diện xem chi tiết hotel</t>
  </si>
  <si>
    <t>Giao diện xem room</t>
  </si>
  <si>
    <t>Giao diện quản lý khách hàng</t>
  </si>
  <si>
    <t>Giao diện Bảng điều khiển</t>
  </si>
  <si>
    <t>Giao diện đơn hàng</t>
  </si>
  <si>
    <t>Review all user interfaces of sprint 2</t>
  </si>
  <si>
    <t>Thiết kế trường kiểm thử cho giỏ hàng</t>
  </si>
  <si>
    <t>Thiết kế trường kiểm thử cho xem hotel</t>
  </si>
  <si>
    <t>Thiết kế trường kiểm thử cho danh mục</t>
  </si>
  <si>
    <t>Thiết kế trường kiểm thử cho liên hệ</t>
  </si>
  <si>
    <t>Thiết kế trường kiểm thử cho xem chi tiết hotel</t>
  </si>
  <si>
    <t>Thiết kế trường kiểm thử cho bảng điều khiển</t>
  </si>
  <si>
    <t>Thiết kế trường kiểm thử cho xem room</t>
  </si>
  <si>
    <t>Thiết kế trường kiểm thử cho đơn hàng</t>
  </si>
  <si>
    <t>Review all test case of sprint 2</t>
  </si>
  <si>
    <t xml:space="preserve">Thiết kê front-end cho giỏ hàng </t>
  </si>
  <si>
    <t>Code back-end cho giỏ hàng</t>
  </si>
  <si>
    <t>Thiết kê front-end cho xem hotel</t>
  </si>
  <si>
    <t>Code back-end cho xem hotel</t>
  </si>
  <si>
    <t>Thiết kê front-end cho danh mục</t>
  </si>
  <si>
    <t>Code back-end cho danh mục</t>
  </si>
  <si>
    <t>Thiết kê front-end cho liên hệ</t>
  </si>
  <si>
    <t>Code back-end cho liên hệ</t>
  </si>
  <si>
    <t>Thiết kê front-end cho xem chi tiết hotel</t>
  </si>
  <si>
    <t>Code back-end cho xem chi tiết hotel</t>
  </si>
  <si>
    <t>Thiết kê front-end cho xem room</t>
  </si>
  <si>
    <t>Code back-end cho xem room</t>
  </si>
  <si>
    <t>Thiết kê front-end cho bảng điều khiển</t>
  </si>
  <si>
    <t>Code back-end cho bảng điều khiển</t>
  </si>
  <si>
    <t>Thiết kê front-end cho đơn hàng</t>
  </si>
  <si>
    <t>Code back-end cho đơn hàng</t>
  </si>
  <si>
    <t>Kiểm tra giỏ hàng</t>
  </si>
  <si>
    <t>Kiểm tra xem hotel</t>
  </si>
  <si>
    <t>Kiểm tra danh mục</t>
  </si>
  <si>
    <t>Kiểm tra liên hệ</t>
  </si>
  <si>
    <t>Kiểm tra bảng điều khiển</t>
  </si>
  <si>
    <t>Kiểm tra xem chi tiết hotel</t>
  </si>
  <si>
    <t>Kiểm tra xem room</t>
  </si>
  <si>
    <t>Kiểm tra quản lý giỏ hàng</t>
  </si>
  <si>
    <t>Sửa lỗi giỏ hàng</t>
  </si>
  <si>
    <t>Sửa lỗi xem hotel</t>
  </si>
  <si>
    <t>Sửa lỗi danh mục</t>
  </si>
  <si>
    <t>Sửa lỗi liên hệ</t>
  </si>
  <si>
    <t>Sửa lỗi xem chi tiết hotel</t>
  </si>
  <si>
    <t>Sửa lỗi bảng điều khiển</t>
  </si>
  <si>
    <t>Sửa lỗi xem room</t>
  </si>
  <si>
    <t>Sửa lỗi đơn hàng</t>
  </si>
  <si>
    <t>Sửa lỗi quản lý khách hàng</t>
  </si>
  <si>
    <t>Kiểm tra lại giỏ hàng</t>
  </si>
  <si>
    <t>Kiểm tra lại xem hotel</t>
  </si>
  <si>
    <t>Kiểm tra lại bảng điều khiển</t>
  </si>
  <si>
    <t>Kiểm tra lại danh mục</t>
  </si>
  <si>
    <t>Kiểm tra lại liên hệ</t>
  </si>
  <si>
    <t>Kiểm tra lại xem chi tiết hotel</t>
  </si>
  <si>
    <t>Kiểm tra lại đơn hàng</t>
  </si>
  <si>
    <t>Kiểm tra lại xem room</t>
  </si>
  <si>
    <t>Release Sprint 2</t>
  </si>
  <si>
    <t>Sprint 2 review meeting</t>
  </si>
  <si>
    <t>Sprint 2 retrospective</t>
  </si>
  <si>
    <t>Sprint 3</t>
  </si>
  <si>
    <t>SPRINT 3 REPORT</t>
  </si>
  <si>
    <t>Tạo Sprint Backlog 3</t>
  </si>
  <si>
    <t>Giao diện chatbot AI</t>
  </si>
  <si>
    <t>Giao diện thanh toán</t>
  </si>
  <si>
    <t>Giao diện đăng nhập admin</t>
  </si>
  <si>
    <t>Giao diện quản lý tài khoản admin</t>
  </si>
  <si>
    <t>Giao diện quản lý tài khoản user</t>
  </si>
  <si>
    <t>Giao diện quản lý tour</t>
  </si>
  <si>
    <t>Giao diện quản lý nhóm quyền</t>
  </si>
  <si>
    <t>Giao diện quản lý hotel</t>
  </si>
  <si>
    <t xml:space="preserve">Giao diện quản lý hóa đơn </t>
  </si>
  <si>
    <t>Review all user interfaces of sprint 3</t>
  </si>
  <si>
    <t>Thiết kế trường kiểm thử cho chatbot AI</t>
  </si>
  <si>
    <t>Thiết kế trường kiểm thử cho thanh toán</t>
  </si>
  <si>
    <t>Thiết kế trường kiểm thử cho đăng nhập admin</t>
  </si>
  <si>
    <t>Thiết kế trường kiểm thử cho quản lý tài khoản admin</t>
  </si>
  <si>
    <t>Thiết kế trường kiểm thử cho quản lý tài khoản user</t>
  </si>
  <si>
    <t>Thiết kế trường kiểm thử cho  quản lý tour</t>
  </si>
  <si>
    <t>Thiết kế trường kiểm thử cho quản lý nhóm quyền</t>
  </si>
  <si>
    <t>Thiết kế trường kiểm thử cho quản lý hotel</t>
  </si>
  <si>
    <t>Thiết kế trường kiểm thử cho quản lý hóa đơn</t>
  </si>
  <si>
    <t>Thiết kê front-end cho chatbot AI</t>
  </si>
  <si>
    <t>Code back-end cho chatbot AI</t>
  </si>
  <si>
    <t>Thiết kê front-end cho thanh toán</t>
  </si>
  <si>
    <t>Code back-end cho thanh toán</t>
  </si>
  <si>
    <t>Thiết kê front-end cho đăng nhập admin</t>
  </si>
  <si>
    <t>Code back-end cho đăng nhập admin</t>
  </si>
  <si>
    <t>Thiết kê front-end cho quản lý tài khoản admin</t>
  </si>
  <si>
    <t>Code back-end cho quản lý tài khoản admin</t>
  </si>
  <si>
    <t>Thiết kê front-end cho quản lý tài khoản user</t>
  </si>
  <si>
    <t>Code back-end cho quản lý tài khoản user</t>
  </si>
  <si>
    <t>Thiết kê front-end cho quản lý tour</t>
  </si>
  <si>
    <t>Code back-end cho quản lý tour</t>
  </si>
  <si>
    <t>Thiết kê front-end cho quản lý nhóm quyền</t>
  </si>
  <si>
    <t>Code back-end cho quản lý nhóm quyền</t>
  </si>
  <si>
    <t>Thiết kê front-end cho quản lý hotel</t>
  </si>
  <si>
    <t>Code back-end cho quản lý hotel</t>
  </si>
  <si>
    <t>Thiết kê front-end cho quản lý hóa đơn</t>
  </si>
  <si>
    <t>Code back-end cho quản lý hóa đơn</t>
  </si>
  <si>
    <t>Kiểm tra chatbot AI</t>
  </si>
  <si>
    <t>Kiểm tra thanh toán</t>
  </si>
  <si>
    <t>Kiểm tra đăng nhập admin</t>
  </si>
  <si>
    <t>Kiểm tra quản lý tài khoản admin</t>
  </si>
  <si>
    <t>Kiểm tra quản lý tài khoản user</t>
  </si>
  <si>
    <t>Kiểm tra quản lý tour</t>
  </si>
  <si>
    <t>Kiểm tra quản lý nhóm quyền</t>
  </si>
  <si>
    <t>Kiểm tra quản lý hotel</t>
  </si>
  <si>
    <t>Kiểm tra quản lý hóa đơn</t>
  </si>
  <si>
    <t>Sửa lỗi chatbot AI</t>
  </si>
  <si>
    <t>Sửa lỗi thanh toán</t>
  </si>
  <si>
    <t>Sửa lỗi đăng nhập admin</t>
  </si>
  <si>
    <t>Sửa lỗi quản lý tài khoản admin</t>
  </si>
  <si>
    <t>Sửa lỗi quản lý tài khoản user</t>
  </si>
  <si>
    <t>Sữa lỗi quản lý tour</t>
  </si>
  <si>
    <t xml:space="preserve">Sữa lỗi quản lý nhóm quyền </t>
  </si>
  <si>
    <t>Sữa lỗi quản lý hotel</t>
  </si>
  <si>
    <t>Sữa lỗi quản lý hóa đơn</t>
  </si>
  <si>
    <t>Sprint 3 review meeting</t>
  </si>
  <si>
    <t>Sprint 3 retrospective</t>
  </si>
  <si>
    <t>SPRINT BACKLOG REPORT</t>
  </si>
  <si>
    <t>FINAL TOTAL</t>
  </si>
  <si>
    <t>Nền tảng đặt vé du lịch trực tuyến với AI Destination Recommendation và thanh toán điện tử</t>
  </si>
  <si>
    <t>Chế Linh</t>
  </si>
  <si>
    <t>Huỳnh Nguyễn Lai Khê</t>
  </si>
  <si>
    <t>Nguyễn Đình Khoan</t>
  </si>
  <si>
    <t>Huỳnh Lê Gia Huy</t>
  </si>
  <si>
    <t>Gia Huy</t>
  </si>
  <si>
    <t>Gia Huy, Chế Linh</t>
  </si>
  <si>
    <t>Gia Huy,Chế Linh</t>
  </si>
  <si>
    <t>Lai Khê</t>
  </si>
  <si>
    <t>Khoan</t>
  </si>
  <si>
    <t>Khoan,Lai Khê</t>
  </si>
  <si>
    <t>Lai Khê,Khoan</t>
  </si>
  <si>
    <t>Gia Huy , Chế Linh</t>
  </si>
  <si>
    <t>Release Sprint 3</t>
  </si>
  <si>
    <t>Linh</t>
  </si>
  <si>
    <t>Khê</t>
  </si>
  <si>
    <t>Huy</t>
  </si>
  <si>
    <t>Giao diện quản lý voucher</t>
  </si>
  <si>
    <t>Giao diện quản lý đánh giá người dùng</t>
  </si>
  <si>
    <t>Thiết kế trường kiểm thử cho quản lý voucher</t>
  </si>
  <si>
    <t>Thiết kế trường kiểm thử cho quản lý đánh giá người dùng</t>
  </si>
  <si>
    <t>Thiết kê front-end cho quản lý voucher</t>
  </si>
  <si>
    <t>Code back-end cho quản lý voucher</t>
  </si>
  <si>
    <t>Thiết kê front-end cho quản lý đánh giá người dùng</t>
  </si>
  <si>
    <t>Code back-end cho quản lý đánh giá người dùng</t>
  </si>
  <si>
    <t>Kiểm tra quản lý voucher</t>
  </si>
  <si>
    <t>Kiểm tra quản lý đánh giá người dùng</t>
  </si>
  <si>
    <t>Sửa lỗi quản lý voucher</t>
  </si>
  <si>
    <t>Sữa lỗi quản lý đánh giá người dùng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</si>
</sst>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9">
    <font>
      <sz val="11"/>
      <color theme="1"/>
      <name val="Calibri"/>
      <charset val="163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3"/>
      <name val="Times New Roman"/>
      <charset val="134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3"/>
      <color theme="1"/>
      <name val="Times New Roman"/>
      <family val="1"/>
    </font>
    <font>
      <sz val="12"/>
      <color theme="1"/>
      <name val="Times New Roman"/>
      <family val="1"/>
    </font>
    <font>
      <sz val="13"/>
      <color theme="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0" fontId="2" fillId="3" borderId="3" xfId="0" applyFont="1" applyFill="1" applyBorder="1"/>
    <xf numFmtId="0" fontId="2" fillId="0" borderId="9" xfId="0" applyFont="1" applyBorder="1"/>
    <xf numFmtId="0" fontId="2" fillId="3" borderId="5" xfId="0" applyFont="1" applyFill="1" applyBorder="1"/>
    <xf numFmtId="0" fontId="2" fillId="0" borderId="10" xfId="0" applyFont="1" applyBorder="1"/>
    <xf numFmtId="0" fontId="2" fillId="0" borderId="0" xfId="0" applyFont="1"/>
    <xf numFmtId="0" fontId="2" fillId="4" borderId="7" xfId="0" applyFont="1" applyFill="1" applyBorder="1"/>
    <xf numFmtId="0" fontId="3" fillId="0" borderId="8" xfId="0" applyFont="1" applyBorder="1" applyAlignment="1">
      <alignment horizontal="left" vertical="center"/>
    </xf>
    <xf numFmtId="0" fontId="2" fillId="0" borderId="13" xfId="0" applyFont="1" applyBorder="1"/>
    <xf numFmtId="0" fontId="2" fillId="5" borderId="3" xfId="0" applyFont="1" applyFill="1" applyBorder="1"/>
    <xf numFmtId="0" fontId="3" fillId="0" borderId="9" xfId="0" applyFont="1" applyBorder="1" applyAlignment="1">
      <alignment horizontal="left" vertical="center" wrapText="1"/>
    </xf>
    <xf numFmtId="14" fontId="3" fillId="0" borderId="13" xfId="0" applyNumberFormat="1" applyFont="1" applyBorder="1" applyAlignment="1">
      <alignment horizontal="left"/>
    </xf>
    <xf numFmtId="0" fontId="2" fillId="6" borderId="3" xfId="0" applyFont="1" applyFill="1" applyBorder="1"/>
    <xf numFmtId="0" fontId="2" fillId="7" borderId="3" xfId="0" applyFont="1" applyFill="1" applyBorder="1"/>
    <xf numFmtId="0" fontId="2" fillId="8" borderId="5" xfId="0" applyFont="1" applyFill="1" applyBorder="1"/>
    <xf numFmtId="0" fontId="3" fillId="0" borderId="10" xfId="0" applyFont="1" applyBorder="1" applyAlignment="1">
      <alignment vertical="center" wrapText="1"/>
    </xf>
    <xf numFmtId="0" fontId="1" fillId="10" borderId="13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9" borderId="13" xfId="0" applyFont="1" applyFill="1" applyBorder="1"/>
    <xf numFmtId="0" fontId="1" fillId="9" borderId="4" xfId="0" applyFont="1" applyFill="1" applyBorder="1"/>
    <xf numFmtId="0" fontId="1" fillId="0" borderId="4" xfId="0" applyFont="1" applyBorder="1" applyAlignment="1">
      <alignment textRotation="90" wrapText="1"/>
    </xf>
    <xf numFmtId="0" fontId="2" fillId="0" borderId="4" xfId="0" applyFont="1" applyBorder="1"/>
    <xf numFmtId="164" fontId="1" fillId="0" borderId="4" xfId="0" applyNumberFormat="1" applyFont="1" applyBorder="1" applyAlignment="1">
      <alignment textRotation="90" wrapText="1"/>
    </xf>
    <xf numFmtId="0" fontId="2" fillId="4" borderId="4" xfId="0" applyFont="1" applyFill="1" applyBorder="1"/>
    <xf numFmtId="0" fontId="2" fillId="11" borderId="4" xfId="0" applyFont="1" applyFill="1" applyBorder="1"/>
    <xf numFmtId="0" fontId="2" fillId="6" borderId="4" xfId="0" applyFont="1" applyFill="1" applyBorder="1"/>
    <xf numFmtId="0" fontId="2" fillId="8" borderId="4" xfId="0" applyFont="1" applyFill="1" applyBorder="1"/>
    <xf numFmtId="0" fontId="1" fillId="13" borderId="4" xfId="0" applyFont="1" applyFill="1" applyBorder="1"/>
    <xf numFmtId="0" fontId="0" fillId="0" borderId="4" xfId="0" applyBorder="1"/>
    <xf numFmtId="164" fontId="1" fillId="0" borderId="0" xfId="0" applyNumberFormat="1" applyFont="1" applyAlignment="1">
      <alignment textRotation="90" wrapText="1"/>
    </xf>
    <xf numFmtId="164" fontId="0" fillId="0" borderId="0" xfId="0" applyNumberFormat="1"/>
    <xf numFmtId="0" fontId="2" fillId="14" borderId="4" xfId="0" applyFont="1" applyFill="1" applyBorder="1"/>
    <xf numFmtId="0" fontId="3" fillId="0" borderId="4" xfId="0" applyFont="1" applyBorder="1"/>
    <xf numFmtId="0" fontId="4" fillId="0" borderId="13" xfId="0" applyFont="1" applyBorder="1"/>
    <xf numFmtId="0" fontId="6" fillId="0" borderId="13" xfId="0" applyFont="1" applyBorder="1" applyAlignment="1">
      <alignment wrapText="1"/>
    </xf>
    <xf numFmtId="164" fontId="6" fillId="0" borderId="4" xfId="0" applyNumberFormat="1" applyFont="1" applyBorder="1" applyAlignment="1">
      <alignment textRotation="90" wrapText="1"/>
    </xf>
    <xf numFmtId="0" fontId="8" fillId="14" borderId="4" xfId="0" applyFont="1" applyFill="1" applyBorder="1"/>
    <xf numFmtId="0" fontId="0" fillId="11" borderId="4" xfId="0" applyFill="1" applyBorder="1"/>
    <xf numFmtId="0" fontId="1" fillId="0" borderId="13" xfId="0" applyFont="1" applyBorder="1" applyAlignment="1">
      <alignment horizontal="left"/>
    </xf>
    <xf numFmtId="0" fontId="1" fillId="9" borderId="1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4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/>
    </xf>
    <xf numFmtId="0" fontId="1" fillId="12" borderId="14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13" borderId="4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9" borderId="14" xfId="0" applyFont="1" applyFill="1" applyBorder="1" applyAlignment="1">
      <alignment horizontal="center"/>
    </xf>
    <xf numFmtId="0" fontId="1" fillId="9" borderId="15" xfId="0" applyFont="1" applyFill="1" applyBorder="1" applyAlignment="1">
      <alignment horizontal="center"/>
    </xf>
    <xf numFmtId="0" fontId="1" fillId="9" borderId="16" xfId="0" applyFont="1" applyFill="1" applyBorder="1" applyAlignment="1">
      <alignment horizontal="center"/>
    </xf>
    <xf numFmtId="0" fontId="2" fillId="0" borderId="18" xfId="0" applyFont="1" applyBorder="1" applyAlignment="1">
      <alignment horizontal="left"/>
    </xf>
    <xf numFmtId="0" fontId="4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9" borderId="21" xfId="0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/>
    </xf>
    <xf numFmtId="0" fontId="1" fillId="9" borderId="23" xfId="0" applyFont="1" applyFill="1" applyBorder="1" applyAlignment="1">
      <alignment horizontal="center" vertical="center"/>
    </xf>
    <xf numFmtId="0" fontId="1" fillId="9" borderId="24" xfId="0" applyFont="1" applyFill="1" applyBorder="1" applyAlignment="1">
      <alignment horizontal="center" vertical="center"/>
    </xf>
    <xf numFmtId="0" fontId="1" fillId="9" borderId="25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F035"/>
      <color rgb="FFCC00CC"/>
      <color rgb="FFFF66CC"/>
      <color rgb="FFFF66FF"/>
      <color rgb="FF1C1A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Sprint </a:t>
            </a:r>
            <a:r>
              <a:rPr lang="vi-VN" sz="1400" b="1" i="0" u="none" strike="noStrike" baseline="0"/>
              <a:t>1</a:t>
            </a:r>
            <a:r>
              <a:rPr lang="en-US" sz="1400" b="1" i="0" u="none" strike="noStrike" baseline="0"/>
              <a:t> Burn-down Chart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Thực tế 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1'!$I$14:$Y$14</c:f>
              <c:numCache>
                <c:formatCode>dd/mm</c:formatCode>
                <c:ptCount val="17"/>
                <c:pt idx="0">
                  <c:v>45934</c:v>
                </c:pt>
                <c:pt idx="1">
                  <c:v>45935</c:v>
                </c:pt>
                <c:pt idx="2">
                  <c:v>45936</c:v>
                </c:pt>
                <c:pt idx="3">
                  <c:v>45937</c:v>
                </c:pt>
                <c:pt idx="4">
                  <c:v>45938</c:v>
                </c:pt>
                <c:pt idx="5">
                  <c:v>45939</c:v>
                </c:pt>
                <c:pt idx="6">
                  <c:v>45940</c:v>
                </c:pt>
                <c:pt idx="7">
                  <c:v>45941</c:v>
                </c:pt>
                <c:pt idx="8">
                  <c:v>45942</c:v>
                </c:pt>
                <c:pt idx="9">
                  <c:v>45943</c:v>
                </c:pt>
                <c:pt idx="10">
                  <c:v>45944</c:v>
                </c:pt>
                <c:pt idx="11">
                  <c:v>45945</c:v>
                </c:pt>
                <c:pt idx="12">
                  <c:v>45946</c:v>
                </c:pt>
                <c:pt idx="13">
                  <c:v>45947</c:v>
                </c:pt>
                <c:pt idx="14">
                  <c:v>45948</c:v>
                </c:pt>
                <c:pt idx="15">
                  <c:v>45949</c:v>
                </c:pt>
                <c:pt idx="16">
                  <c:v>45950</c:v>
                </c:pt>
              </c:numCache>
            </c:numRef>
          </c:cat>
          <c:val>
            <c:numRef>
              <c:f>'Sprint 1'!$I$85:$Y$85</c:f>
              <c:numCache>
                <c:formatCode>General</c:formatCode>
                <c:ptCount val="17"/>
                <c:pt idx="0">
                  <c:v>134</c:v>
                </c:pt>
                <c:pt idx="1">
                  <c:v>133</c:v>
                </c:pt>
                <c:pt idx="2">
                  <c:v>132</c:v>
                </c:pt>
                <c:pt idx="3">
                  <c:v>131</c:v>
                </c:pt>
                <c:pt idx="4">
                  <c:v>126</c:v>
                </c:pt>
                <c:pt idx="5">
                  <c:v>114</c:v>
                </c:pt>
                <c:pt idx="6">
                  <c:v>101</c:v>
                </c:pt>
                <c:pt idx="7">
                  <c:v>96</c:v>
                </c:pt>
                <c:pt idx="8">
                  <c:v>91</c:v>
                </c:pt>
                <c:pt idx="9">
                  <c:v>85</c:v>
                </c:pt>
                <c:pt idx="10">
                  <c:v>54</c:v>
                </c:pt>
                <c:pt idx="11">
                  <c:v>42</c:v>
                </c:pt>
                <c:pt idx="12">
                  <c:v>33</c:v>
                </c:pt>
                <c:pt idx="13">
                  <c:v>24</c:v>
                </c:pt>
                <c:pt idx="14">
                  <c:v>20</c:v>
                </c:pt>
                <c:pt idx="15">
                  <c:v>10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5C-49CF-9911-F8F7DD777969}"/>
            </c:ext>
          </c:extLst>
        </c:ser>
        <c:ser>
          <c:idx val="1"/>
          <c:order val="1"/>
          <c:tx>
            <c:v>Ước tính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1'!$I$14:$Y$14</c:f>
              <c:numCache>
                <c:formatCode>dd/mm</c:formatCode>
                <c:ptCount val="17"/>
                <c:pt idx="0">
                  <c:v>45934</c:v>
                </c:pt>
                <c:pt idx="1">
                  <c:v>45935</c:v>
                </c:pt>
                <c:pt idx="2">
                  <c:v>45936</c:v>
                </c:pt>
                <c:pt idx="3">
                  <c:v>45937</c:v>
                </c:pt>
                <c:pt idx="4">
                  <c:v>45938</c:v>
                </c:pt>
                <c:pt idx="5">
                  <c:v>45939</c:v>
                </c:pt>
                <c:pt idx="6">
                  <c:v>45940</c:v>
                </c:pt>
                <c:pt idx="7">
                  <c:v>45941</c:v>
                </c:pt>
                <c:pt idx="8">
                  <c:v>45942</c:v>
                </c:pt>
                <c:pt idx="9">
                  <c:v>45943</c:v>
                </c:pt>
                <c:pt idx="10">
                  <c:v>45944</c:v>
                </c:pt>
                <c:pt idx="11">
                  <c:v>45945</c:v>
                </c:pt>
                <c:pt idx="12">
                  <c:v>45946</c:v>
                </c:pt>
                <c:pt idx="13">
                  <c:v>45947</c:v>
                </c:pt>
                <c:pt idx="14">
                  <c:v>45948</c:v>
                </c:pt>
                <c:pt idx="15">
                  <c:v>45949</c:v>
                </c:pt>
                <c:pt idx="16">
                  <c:v>45950</c:v>
                </c:pt>
              </c:numCache>
            </c:numRef>
          </c:cat>
          <c:val>
            <c:numRef>
              <c:f>'Sprint 1'!$I$86:$Y$86</c:f>
              <c:numCache>
                <c:formatCode>General</c:formatCode>
                <c:ptCount val="17"/>
                <c:pt idx="0">
                  <c:v>134</c:v>
                </c:pt>
                <c:pt idx="1">
                  <c:v>133</c:v>
                </c:pt>
                <c:pt idx="2">
                  <c:v>132</c:v>
                </c:pt>
                <c:pt idx="3">
                  <c:v>131</c:v>
                </c:pt>
                <c:pt idx="4">
                  <c:v>128</c:v>
                </c:pt>
                <c:pt idx="5">
                  <c:v>115</c:v>
                </c:pt>
                <c:pt idx="6">
                  <c:v>106</c:v>
                </c:pt>
                <c:pt idx="7">
                  <c:v>96</c:v>
                </c:pt>
                <c:pt idx="8">
                  <c:v>91</c:v>
                </c:pt>
                <c:pt idx="9">
                  <c:v>84</c:v>
                </c:pt>
                <c:pt idx="10">
                  <c:v>60</c:v>
                </c:pt>
                <c:pt idx="11">
                  <c:v>42</c:v>
                </c:pt>
                <c:pt idx="12">
                  <c:v>33</c:v>
                </c:pt>
                <c:pt idx="13">
                  <c:v>24</c:v>
                </c:pt>
                <c:pt idx="14">
                  <c:v>20</c:v>
                </c:pt>
                <c:pt idx="15">
                  <c:v>10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5C-49CF-9911-F8F7DD777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8087472"/>
        <c:axId val="618083864"/>
      </c:lineChart>
      <c:dateAx>
        <c:axId val="618087472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083864"/>
        <c:crosses val="autoZero"/>
        <c:auto val="1"/>
        <c:lblOffset val="100"/>
        <c:baseTimeUnit val="days"/>
      </c:dateAx>
      <c:valAx>
        <c:axId val="618083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08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Sprint </a:t>
            </a:r>
            <a:r>
              <a:rPr lang="vi-VN" sz="1400" b="1" i="0" u="none" strike="noStrike" baseline="0"/>
              <a:t>2</a:t>
            </a:r>
            <a:r>
              <a:rPr lang="en-US" sz="1400" b="1" i="0" u="none" strike="noStrike" baseline="0"/>
              <a:t> Burn-down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2'!$I$14:$Y$14</c:f>
              <c:numCache>
                <c:formatCode>dd/mm</c:formatCode>
                <c:ptCount val="17"/>
                <c:pt idx="0">
                  <c:v>45951</c:v>
                </c:pt>
                <c:pt idx="1">
                  <c:v>45952</c:v>
                </c:pt>
                <c:pt idx="2">
                  <c:v>45953</c:v>
                </c:pt>
                <c:pt idx="3">
                  <c:v>45954</c:v>
                </c:pt>
                <c:pt idx="4">
                  <c:v>45955</c:v>
                </c:pt>
                <c:pt idx="5">
                  <c:v>45956</c:v>
                </c:pt>
                <c:pt idx="6">
                  <c:v>45957</c:v>
                </c:pt>
                <c:pt idx="7">
                  <c:v>45958</c:v>
                </c:pt>
                <c:pt idx="8">
                  <c:v>45959</c:v>
                </c:pt>
                <c:pt idx="9">
                  <c:v>45960</c:v>
                </c:pt>
                <c:pt idx="10">
                  <c:v>45961</c:v>
                </c:pt>
                <c:pt idx="11">
                  <c:v>45962</c:v>
                </c:pt>
                <c:pt idx="12">
                  <c:v>45963</c:v>
                </c:pt>
                <c:pt idx="13">
                  <c:v>45964</c:v>
                </c:pt>
                <c:pt idx="14">
                  <c:v>45965</c:v>
                </c:pt>
                <c:pt idx="15">
                  <c:v>45966</c:v>
                </c:pt>
                <c:pt idx="16">
                  <c:v>45967</c:v>
                </c:pt>
              </c:numCache>
            </c:numRef>
          </c:cat>
          <c:val>
            <c:numRef>
              <c:f>'Sprint 2'!$I$90:$Y$90</c:f>
              <c:numCache>
                <c:formatCode>General</c:formatCode>
                <c:ptCount val="17"/>
                <c:pt idx="0">
                  <c:v>160</c:v>
                </c:pt>
                <c:pt idx="1">
                  <c:v>146</c:v>
                </c:pt>
                <c:pt idx="2">
                  <c:v>146</c:v>
                </c:pt>
                <c:pt idx="3">
                  <c:v>128</c:v>
                </c:pt>
                <c:pt idx="4">
                  <c:v>127</c:v>
                </c:pt>
                <c:pt idx="5">
                  <c:v>116</c:v>
                </c:pt>
                <c:pt idx="6">
                  <c:v>114</c:v>
                </c:pt>
                <c:pt idx="7">
                  <c:v>106</c:v>
                </c:pt>
                <c:pt idx="8">
                  <c:v>97</c:v>
                </c:pt>
                <c:pt idx="9">
                  <c:v>94</c:v>
                </c:pt>
                <c:pt idx="10">
                  <c:v>75</c:v>
                </c:pt>
                <c:pt idx="11">
                  <c:v>54</c:v>
                </c:pt>
                <c:pt idx="12">
                  <c:v>37</c:v>
                </c:pt>
                <c:pt idx="13">
                  <c:v>25</c:v>
                </c:pt>
                <c:pt idx="14">
                  <c:v>10</c:v>
                </c:pt>
                <c:pt idx="15">
                  <c:v>10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13-4CBD-82A5-31AC8C67B572}"/>
            </c:ext>
          </c:extLst>
        </c:ser>
        <c:ser>
          <c:idx val="1"/>
          <c:order val="1"/>
          <c:tx>
            <c:v>Ước Tính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2'!$I$14:$Y$14</c:f>
              <c:numCache>
                <c:formatCode>dd/mm</c:formatCode>
                <c:ptCount val="17"/>
                <c:pt idx="0">
                  <c:v>45951</c:v>
                </c:pt>
                <c:pt idx="1">
                  <c:v>45952</c:v>
                </c:pt>
                <c:pt idx="2">
                  <c:v>45953</c:v>
                </c:pt>
                <c:pt idx="3">
                  <c:v>45954</c:v>
                </c:pt>
                <c:pt idx="4">
                  <c:v>45955</c:v>
                </c:pt>
                <c:pt idx="5">
                  <c:v>45956</c:v>
                </c:pt>
                <c:pt idx="6">
                  <c:v>45957</c:v>
                </c:pt>
                <c:pt idx="7">
                  <c:v>45958</c:v>
                </c:pt>
                <c:pt idx="8">
                  <c:v>45959</c:v>
                </c:pt>
                <c:pt idx="9">
                  <c:v>45960</c:v>
                </c:pt>
                <c:pt idx="10">
                  <c:v>45961</c:v>
                </c:pt>
                <c:pt idx="11">
                  <c:v>45962</c:v>
                </c:pt>
                <c:pt idx="12">
                  <c:v>45963</c:v>
                </c:pt>
                <c:pt idx="13">
                  <c:v>45964</c:v>
                </c:pt>
                <c:pt idx="14">
                  <c:v>45965</c:v>
                </c:pt>
                <c:pt idx="15">
                  <c:v>45966</c:v>
                </c:pt>
                <c:pt idx="16">
                  <c:v>45967</c:v>
                </c:pt>
              </c:numCache>
            </c:numRef>
          </c:cat>
          <c:val>
            <c:numRef>
              <c:f>'Sprint 2'!$I$91:$Y$91</c:f>
              <c:numCache>
                <c:formatCode>General</c:formatCode>
                <c:ptCount val="17"/>
                <c:pt idx="0">
                  <c:v>166</c:v>
                </c:pt>
                <c:pt idx="1">
                  <c:v>146</c:v>
                </c:pt>
                <c:pt idx="2">
                  <c:v>146</c:v>
                </c:pt>
                <c:pt idx="3">
                  <c:v>128</c:v>
                </c:pt>
                <c:pt idx="4">
                  <c:v>126</c:v>
                </c:pt>
                <c:pt idx="5">
                  <c:v>117</c:v>
                </c:pt>
                <c:pt idx="6">
                  <c:v>114</c:v>
                </c:pt>
                <c:pt idx="7">
                  <c:v>108</c:v>
                </c:pt>
                <c:pt idx="8">
                  <c:v>98</c:v>
                </c:pt>
                <c:pt idx="9">
                  <c:v>96</c:v>
                </c:pt>
                <c:pt idx="10">
                  <c:v>76</c:v>
                </c:pt>
                <c:pt idx="11">
                  <c:v>54</c:v>
                </c:pt>
                <c:pt idx="12">
                  <c:v>37</c:v>
                </c:pt>
                <c:pt idx="13">
                  <c:v>25</c:v>
                </c:pt>
                <c:pt idx="14">
                  <c:v>10</c:v>
                </c:pt>
                <c:pt idx="15">
                  <c:v>10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13-4CBD-82A5-31AC8C67B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95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1aae7d-60db-4dd4-bed7-f43f402ef4e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Sprint 3 Burn-down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99244797359534E-2"/>
          <c:y val="1.900416200676025E-2"/>
          <c:w val="0.82238095238095199"/>
          <c:h val="0.839706332211686"/>
        </c:manualLayout>
      </c:layout>
      <c:lineChart>
        <c:grouping val="standard"/>
        <c:varyColors val="0"/>
        <c:ser>
          <c:idx val="0"/>
          <c:order val="0"/>
          <c:tx>
            <c:v>Thực tế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3'!$I$15:$AM$15</c:f>
              <c:numCache>
                <c:formatCode>dd/mm</c:formatCode>
                <c:ptCount val="31"/>
                <c:pt idx="0">
                  <c:v>45968</c:v>
                </c:pt>
                <c:pt idx="1">
                  <c:v>45969</c:v>
                </c:pt>
                <c:pt idx="2">
                  <c:v>45970</c:v>
                </c:pt>
                <c:pt idx="3">
                  <c:v>45971</c:v>
                </c:pt>
                <c:pt idx="4">
                  <c:v>45972</c:v>
                </c:pt>
                <c:pt idx="5">
                  <c:v>45973</c:v>
                </c:pt>
                <c:pt idx="6">
                  <c:v>45974</c:v>
                </c:pt>
                <c:pt idx="7">
                  <c:v>45975</c:v>
                </c:pt>
                <c:pt idx="8">
                  <c:v>45976</c:v>
                </c:pt>
                <c:pt idx="9">
                  <c:v>45977</c:v>
                </c:pt>
                <c:pt idx="10">
                  <c:v>45978</c:v>
                </c:pt>
                <c:pt idx="11">
                  <c:v>45979</c:v>
                </c:pt>
                <c:pt idx="12">
                  <c:v>45980</c:v>
                </c:pt>
                <c:pt idx="13">
                  <c:v>45981</c:v>
                </c:pt>
                <c:pt idx="14">
                  <c:v>45982</c:v>
                </c:pt>
                <c:pt idx="15">
                  <c:v>45983</c:v>
                </c:pt>
                <c:pt idx="16">
                  <c:v>45984</c:v>
                </c:pt>
                <c:pt idx="17">
                  <c:v>45985</c:v>
                </c:pt>
                <c:pt idx="18">
                  <c:v>45986</c:v>
                </c:pt>
                <c:pt idx="19">
                  <c:v>45987</c:v>
                </c:pt>
                <c:pt idx="20">
                  <c:v>45988</c:v>
                </c:pt>
                <c:pt idx="21">
                  <c:v>45989</c:v>
                </c:pt>
                <c:pt idx="22">
                  <c:v>45990</c:v>
                </c:pt>
                <c:pt idx="23">
                  <c:v>45991</c:v>
                </c:pt>
                <c:pt idx="24">
                  <c:v>45992</c:v>
                </c:pt>
                <c:pt idx="25">
                  <c:v>45993</c:v>
                </c:pt>
                <c:pt idx="26">
                  <c:v>45994</c:v>
                </c:pt>
                <c:pt idx="27">
                  <c:v>45995</c:v>
                </c:pt>
                <c:pt idx="28">
                  <c:v>45996</c:v>
                </c:pt>
                <c:pt idx="29">
                  <c:v>45997</c:v>
                </c:pt>
                <c:pt idx="30">
                  <c:v>45998</c:v>
                </c:pt>
              </c:numCache>
            </c:numRef>
          </c:cat>
          <c:val>
            <c:numRef>
              <c:f>'Sprint 3'!$I$112:$AM$112</c:f>
              <c:numCache>
                <c:formatCode>General</c:formatCode>
                <c:ptCount val="31"/>
                <c:pt idx="0">
                  <c:v>179</c:v>
                </c:pt>
                <c:pt idx="1">
                  <c:v>168</c:v>
                </c:pt>
                <c:pt idx="2">
                  <c:v>165</c:v>
                </c:pt>
                <c:pt idx="3">
                  <c:v>159</c:v>
                </c:pt>
                <c:pt idx="4">
                  <c:v>154</c:v>
                </c:pt>
                <c:pt idx="5">
                  <c:v>143</c:v>
                </c:pt>
                <c:pt idx="6">
                  <c:v>139</c:v>
                </c:pt>
                <c:pt idx="7">
                  <c:v>131</c:v>
                </c:pt>
                <c:pt idx="8">
                  <c:v>121</c:v>
                </c:pt>
                <c:pt idx="9">
                  <c:v>118</c:v>
                </c:pt>
                <c:pt idx="10">
                  <c:v>114</c:v>
                </c:pt>
                <c:pt idx="11">
                  <c:v>108</c:v>
                </c:pt>
                <c:pt idx="12">
                  <c:v>104</c:v>
                </c:pt>
                <c:pt idx="13">
                  <c:v>102</c:v>
                </c:pt>
                <c:pt idx="14">
                  <c:v>97</c:v>
                </c:pt>
                <c:pt idx="15">
                  <c:v>93</c:v>
                </c:pt>
                <c:pt idx="16">
                  <c:v>89</c:v>
                </c:pt>
                <c:pt idx="17">
                  <c:v>85</c:v>
                </c:pt>
                <c:pt idx="18">
                  <c:v>75</c:v>
                </c:pt>
                <c:pt idx="19">
                  <c:v>67</c:v>
                </c:pt>
                <c:pt idx="20">
                  <c:v>61</c:v>
                </c:pt>
                <c:pt idx="21">
                  <c:v>56</c:v>
                </c:pt>
                <c:pt idx="22">
                  <c:v>53</c:v>
                </c:pt>
                <c:pt idx="23">
                  <c:v>49</c:v>
                </c:pt>
                <c:pt idx="24">
                  <c:v>45</c:v>
                </c:pt>
                <c:pt idx="25">
                  <c:v>36</c:v>
                </c:pt>
                <c:pt idx="26">
                  <c:v>31</c:v>
                </c:pt>
                <c:pt idx="27">
                  <c:v>26</c:v>
                </c:pt>
                <c:pt idx="28">
                  <c:v>23</c:v>
                </c:pt>
                <c:pt idx="29">
                  <c:v>10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00-4D71-8800-465937CB52AF}"/>
            </c:ext>
          </c:extLst>
        </c:ser>
        <c:ser>
          <c:idx val="1"/>
          <c:order val="1"/>
          <c:tx>
            <c:v>Ước tính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3'!$I$15:$AM$15</c:f>
              <c:numCache>
                <c:formatCode>dd/mm</c:formatCode>
                <c:ptCount val="31"/>
                <c:pt idx="0">
                  <c:v>45968</c:v>
                </c:pt>
                <c:pt idx="1">
                  <c:v>45969</c:v>
                </c:pt>
                <c:pt idx="2">
                  <c:v>45970</c:v>
                </c:pt>
                <c:pt idx="3">
                  <c:v>45971</c:v>
                </c:pt>
                <c:pt idx="4">
                  <c:v>45972</c:v>
                </c:pt>
                <c:pt idx="5">
                  <c:v>45973</c:v>
                </c:pt>
                <c:pt idx="6">
                  <c:v>45974</c:v>
                </c:pt>
                <c:pt idx="7">
                  <c:v>45975</c:v>
                </c:pt>
                <c:pt idx="8">
                  <c:v>45976</c:v>
                </c:pt>
                <c:pt idx="9">
                  <c:v>45977</c:v>
                </c:pt>
                <c:pt idx="10">
                  <c:v>45978</c:v>
                </c:pt>
                <c:pt idx="11">
                  <c:v>45979</c:v>
                </c:pt>
                <c:pt idx="12">
                  <c:v>45980</c:v>
                </c:pt>
                <c:pt idx="13">
                  <c:v>45981</c:v>
                </c:pt>
                <c:pt idx="14">
                  <c:v>45982</c:v>
                </c:pt>
                <c:pt idx="15">
                  <c:v>45983</c:v>
                </c:pt>
                <c:pt idx="16">
                  <c:v>45984</c:v>
                </c:pt>
                <c:pt idx="17">
                  <c:v>45985</c:v>
                </c:pt>
                <c:pt idx="18">
                  <c:v>45986</c:v>
                </c:pt>
                <c:pt idx="19">
                  <c:v>45987</c:v>
                </c:pt>
                <c:pt idx="20">
                  <c:v>45988</c:v>
                </c:pt>
                <c:pt idx="21">
                  <c:v>45989</c:v>
                </c:pt>
                <c:pt idx="22">
                  <c:v>45990</c:v>
                </c:pt>
                <c:pt idx="23">
                  <c:v>45991</c:v>
                </c:pt>
                <c:pt idx="24">
                  <c:v>45992</c:v>
                </c:pt>
                <c:pt idx="25">
                  <c:v>45993</c:v>
                </c:pt>
                <c:pt idx="26">
                  <c:v>45994</c:v>
                </c:pt>
                <c:pt idx="27">
                  <c:v>45995</c:v>
                </c:pt>
                <c:pt idx="28">
                  <c:v>45996</c:v>
                </c:pt>
                <c:pt idx="29">
                  <c:v>45997</c:v>
                </c:pt>
                <c:pt idx="30">
                  <c:v>45998</c:v>
                </c:pt>
              </c:numCache>
            </c:numRef>
          </c:cat>
          <c:val>
            <c:numRef>
              <c:f>'Sprint 3'!$I$113:$AM$113</c:f>
              <c:numCache>
                <c:formatCode>General</c:formatCode>
                <c:ptCount val="31"/>
                <c:pt idx="0">
                  <c:v>179</c:v>
                </c:pt>
                <c:pt idx="1">
                  <c:v>169</c:v>
                </c:pt>
                <c:pt idx="2">
                  <c:v>165</c:v>
                </c:pt>
                <c:pt idx="3">
                  <c:v>159</c:v>
                </c:pt>
                <c:pt idx="4">
                  <c:v>155</c:v>
                </c:pt>
                <c:pt idx="5">
                  <c:v>143</c:v>
                </c:pt>
                <c:pt idx="6">
                  <c:v>139</c:v>
                </c:pt>
                <c:pt idx="7">
                  <c:v>134</c:v>
                </c:pt>
                <c:pt idx="8">
                  <c:v>122</c:v>
                </c:pt>
                <c:pt idx="9">
                  <c:v>118</c:v>
                </c:pt>
                <c:pt idx="10">
                  <c:v>114</c:v>
                </c:pt>
                <c:pt idx="11">
                  <c:v>109</c:v>
                </c:pt>
                <c:pt idx="12">
                  <c:v>105</c:v>
                </c:pt>
                <c:pt idx="13">
                  <c:v>102</c:v>
                </c:pt>
                <c:pt idx="14">
                  <c:v>97</c:v>
                </c:pt>
                <c:pt idx="15">
                  <c:v>93</c:v>
                </c:pt>
                <c:pt idx="16">
                  <c:v>89</c:v>
                </c:pt>
                <c:pt idx="17">
                  <c:v>85</c:v>
                </c:pt>
                <c:pt idx="18">
                  <c:v>77</c:v>
                </c:pt>
                <c:pt idx="19">
                  <c:v>67</c:v>
                </c:pt>
                <c:pt idx="20">
                  <c:v>61</c:v>
                </c:pt>
                <c:pt idx="21">
                  <c:v>56</c:v>
                </c:pt>
                <c:pt idx="22">
                  <c:v>54</c:v>
                </c:pt>
                <c:pt idx="23">
                  <c:v>50</c:v>
                </c:pt>
                <c:pt idx="24">
                  <c:v>45</c:v>
                </c:pt>
                <c:pt idx="25">
                  <c:v>36</c:v>
                </c:pt>
                <c:pt idx="26">
                  <c:v>32</c:v>
                </c:pt>
                <c:pt idx="27">
                  <c:v>26</c:v>
                </c:pt>
                <c:pt idx="28">
                  <c:v>22</c:v>
                </c:pt>
                <c:pt idx="29">
                  <c:v>10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00-4D71-8800-465937CB5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0544"/>
        <c:axId val="226297600"/>
      </c:lineChart>
      <c:dateAx>
        <c:axId val="22629054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97600"/>
        <c:crosses val="autoZero"/>
        <c:auto val="1"/>
        <c:lblOffset val="100"/>
        <c:baseTimeUnit val="days"/>
      </c:dateAx>
      <c:valAx>
        <c:axId val="22629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9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95156d-4368-4bc5-bf18-1dfdf94734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1228531</xdr:colOff>
      <xdr:row>89</xdr:row>
      <xdr:rowOff>179293</xdr:rowOff>
    </xdr:from>
    <xdr:to>
      <xdr:col>15</xdr:col>
      <xdr:colOff>266095</xdr:colOff>
      <xdr:row>113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909A6F-87E7-4130-ACDD-4D62639BF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368832</xdr:colOff>
      <xdr:row>94</xdr:row>
      <xdr:rowOff>9602</xdr:rowOff>
    </xdr:from>
    <xdr:to>
      <xdr:col>16</xdr:col>
      <xdr:colOff>68239</xdr:colOff>
      <xdr:row>119</xdr:row>
      <xdr:rowOff>73269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1266264</xdr:colOff>
      <xdr:row>113</xdr:row>
      <xdr:rowOff>168088</xdr:rowOff>
    </xdr:from>
    <xdr:to>
      <xdr:col>20</xdr:col>
      <xdr:colOff>77492</xdr:colOff>
      <xdr:row>134</xdr:row>
      <xdr:rowOff>33618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6"/>
  <sheetViews>
    <sheetView topLeftCell="A85" zoomScale="63" zoomScaleNormal="70" workbookViewId="0">
      <selection activeCell="W108" sqref="W108"/>
    </sheetView>
  </sheetViews>
  <sheetFormatPr defaultColWidth="9.109375" defaultRowHeight="16.8"/>
  <cols>
    <col min="1" max="1" width="16" style="10" customWidth="1"/>
    <col min="2" max="2" width="20.33203125" style="10" customWidth="1"/>
    <col min="3" max="3" width="55.44140625" style="10" customWidth="1"/>
    <col min="4" max="5" width="11" style="10" customWidth="1"/>
    <col min="6" max="6" width="20.5546875" style="10" customWidth="1"/>
    <col min="7" max="8" width="6.109375" style="10" customWidth="1"/>
    <col min="9" max="9" width="6" style="10" customWidth="1"/>
    <col min="10" max="13" width="6.109375" style="10" customWidth="1"/>
    <col min="14" max="14" width="6" style="10" customWidth="1"/>
    <col min="15" max="15" width="6.109375" style="10" customWidth="1"/>
    <col min="16" max="20" width="6" style="10" customWidth="1"/>
    <col min="21" max="23" width="6.109375" style="10" customWidth="1"/>
    <col min="24" max="24" width="6" style="10" customWidth="1"/>
    <col min="25" max="25" width="6.109375" style="10" customWidth="1"/>
    <col min="26" max="26" width="6" style="10" customWidth="1"/>
    <col min="27" max="27" width="5.88671875" style="10" customWidth="1"/>
    <col min="28" max="28" width="6.109375" style="10" customWidth="1"/>
    <col min="29" max="31" width="6" style="10" customWidth="1"/>
    <col min="32" max="16384" width="9.109375" style="10"/>
  </cols>
  <sheetData>
    <row r="1" spans="1:25" ht="50.4">
      <c r="A1" s="43" t="s">
        <v>0</v>
      </c>
      <c r="B1" s="43"/>
      <c r="C1" s="39" t="s">
        <v>215</v>
      </c>
      <c r="E1" s="11"/>
      <c r="F1" s="12" t="s">
        <v>1</v>
      </c>
    </row>
    <row r="2" spans="1:25" ht="17.399999999999999" thickBot="1">
      <c r="A2" s="43" t="s">
        <v>2</v>
      </c>
      <c r="B2" s="43"/>
      <c r="C2" s="13" t="s">
        <v>3</v>
      </c>
      <c r="E2" s="17"/>
      <c r="F2" s="15" t="s">
        <v>4</v>
      </c>
    </row>
    <row r="3" spans="1:25" ht="17.399999999999999" thickBot="1">
      <c r="A3" s="43" t="s">
        <v>5</v>
      </c>
      <c r="B3" s="43"/>
      <c r="C3" s="16">
        <v>45934</v>
      </c>
      <c r="E3" s="19"/>
      <c r="F3" s="20" t="s">
        <v>6</v>
      </c>
    </row>
    <row r="4" spans="1:25" ht="17.25" customHeight="1" thickBot="1">
      <c r="A4" s="43" t="s">
        <v>7</v>
      </c>
      <c r="B4" s="43"/>
      <c r="C4" s="16">
        <v>45950</v>
      </c>
    </row>
    <row r="5" spans="1:25" ht="16.5" customHeight="1"/>
    <row r="6" spans="1:25">
      <c r="B6" s="44" t="s">
        <v>8</v>
      </c>
      <c r="C6" s="44"/>
      <c r="D6" s="44"/>
      <c r="E6" s="44"/>
    </row>
    <row r="7" spans="1:25" ht="17.399999999999999" thickBot="1">
      <c r="B7" s="21" t="s">
        <v>9</v>
      </c>
      <c r="C7" s="21" t="s">
        <v>10</v>
      </c>
      <c r="D7" s="21" t="s">
        <v>11</v>
      </c>
      <c r="E7" s="21" t="s">
        <v>12</v>
      </c>
    </row>
    <row r="8" spans="1:25" ht="17.399999999999999" thickBot="1">
      <c r="B8" s="22">
        <v>1</v>
      </c>
      <c r="C8" s="38" t="s">
        <v>216</v>
      </c>
      <c r="D8" s="13">
        <f ca="1">SUMIF($E$15:$F$84,"Chế Linh",$G$15:$G$84)+SUMIF($E$15:$F$84,"All team",$G$15:$G$84)/4+SUMIF($E$15:$F$84,"Gia Huy,Chế Linh",$G$15:$G$84)/2</f>
        <v>37</v>
      </c>
      <c r="E8" s="13">
        <f ca="1">SUMIF($E$15:$F$84,"Chế Linh",$H$15:$H$84)+SUMIF($E$15:$F$84,"All team",$H$15:$H$84)/4+SUMIF($E$15:$F$84,"Gia Huy,Chế Linh",$H$15:$H$84)/2</f>
        <v>41.5</v>
      </c>
    </row>
    <row r="9" spans="1:25" ht="17.399999999999999" thickBot="1">
      <c r="B9" s="22">
        <v>2</v>
      </c>
      <c r="C9" s="38" t="s">
        <v>217</v>
      </c>
      <c r="D9" s="13">
        <f ca="1">SUMIF($E$15:$F$84,"Lai Khê",$G$15:$G$84)+SUMIF($E$15:$F$84,"All team",$G$15:$G$84)/4+SUMIF($E$15:$F$84,"Lai Khê,Khoan",$G$15:$G$84)/2+SUMIF($E$15:$F$84,"Khoan,Lai Khê",$G$15:$G$84)/2</f>
        <v>28.5</v>
      </c>
      <c r="E9" s="13">
        <f ca="1">SUMIF($E$15:$F$84,"Lai Khê",$H$15:$H$84)+SUMIF($E$15:$F$84,"All team",$H$15:$H$84)/4+SUMIF($E$15:$F$84,"Lai Khê,Khoan",$H$15:$H$84)/2+SUMIF($E$15:$F$84,"Khoan,Lai Khê",$H$15:$H$84)/2</f>
        <v>31.5</v>
      </c>
    </row>
    <row r="10" spans="1:25">
      <c r="B10" s="22">
        <v>3</v>
      </c>
      <c r="C10" s="38" t="s">
        <v>218</v>
      </c>
      <c r="D10" s="13">
        <f ca="1">SUMIF($E$15:$F$84,"Khoan",$G$15:$G$84)+SUMIF($E$15:$F$84,"All team",$G$15:$G$84)/4+SUMIF($E$15:$F$84,"Lai Khê,Khoan",$G$15:$G$84)/2+SUMIF($E$15:$F$84,"Khoan,Lai Khê",$G$15:$G$84)/2</f>
        <v>38.5</v>
      </c>
      <c r="E10" s="13">
        <f ca="1">SUMIF($E$15:$F$84,"Khoan",$H$15:$H$84)+SUMIF($E$15:$F$84,"All team",$H$15:$H$84)/4+SUMIF($E$15:$F$84,"Lai Khê,Khoan",$H$15:$H$84)/2+SUMIF($E$15:$F$84,"Khoan,Lai Khê",$H$15:$H$84)/2</f>
        <v>40.5</v>
      </c>
    </row>
    <row r="11" spans="1:25" ht="17.399999999999999" thickBot="1">
      <c r="B11" s="22">
        <v>4</v>
      </c>
      <c r="C11" s="38" t="s">
        <v>219</v>
      </c>
      <c r="D11" s="13">
        <f ca="1">SUMIF($E$15:$F$84,"Gia Huy",$G$15:$G$84)+SUMIF($E$15:$F$84,"All team",$G$15:$G$84)/4+SUMIF($E$15:$F$84,"Gia Huy,Chế Linh",$G$15:$G$84)/2</f>
        <v>33</v>
      </c>
      <c r="E11" s="13">
        <f ca="1">SUMIF($E$15:$F$84,"Gia Huy",$H$15:$H$84)+SUMIF($E$15:$F$84,"All team",$H$15:$H$84)/4+SUMIF($E$15:$F$84,"Gia Huy,Chế Linh",$H$15:$H$84)/2</f>
        <v>36.5</v>
      </c>
    </row>
    <row r="12" spans="1:25" ht="17.399999999999999" thickBot="1">
      <c r="B12" s="44" t="s">
        <v>13</v>
      </c>
      <c r="C12" s="44"/>
      <c r="D12" s="23">
        <f ca="1">SUM(D8:D11)</f>
        <v>137</v>
      </c>
      <c r="E12" s="23">
        <f ca="1">SUM(E8:E11)</f>
        <v>150</v>
      </c>
    </row>
    <row r="14" spans="1:25" ht="62.25" customHeight="1">
      <c r="A14" s="24" t="s">
        <v>14</v>
      </c>
      <c r="B14" s="24" t="s">
        <v>15</v>
      </c>
      <c r="C14" s="45" t="s">
        <v>16</v>
      </c>
      <c r="D14" s="45"/>
      <c r="E14" s="45" t="s">
        <v>17</v>
      </c>
      <c r="F14" s="45"/>
      <c r="G14" s="25" t="s">
        <v>11</v>
      </c>
      <c r="H14" s="25" t="s">
        <v>12</v>
      </c>
      <c r="I14" s="27">
        <v>45934</v>
      </c>
      <c r="J14" s="27">
        <v>45935</v>
      </c>
      <c r="K14" s="27">
        <v>45936</v>
      </c>
      <c r="L14" s="27">
        <v>45937</v>
      </c>
      <c r="M14" s="27">
        <v>45938</v>
      </c>
      <c r="N14" s="27">
        <v>45939</v>
      </c>
      <c r="O14" s="27">
        <v>45940</v>
      </c>
      <c r="P14" s="27">
        <v>45941</v>
      </c>
      <c r="Q14" s="27">
        <v>45942</v>
      </c>
      <c r="R14" s="27">
        <v>45943</v>
      </c>
      <c r="S14" s="27">
        <v>45944</v>
      </c>
      <c r="T14" s="27">
        <v>45945</v>
      </c>
      <c r="U14" s="27">
        <v>45946</v>
      </c>
      <c r="V14" s="27">
        <v>45947</v>
      </c>
      <c r="W14" s="27">
        <v>45948</v>
      </c>
      <c r="X14" s="27">
        <v>45949</v>
      </c>
      <c r="Y14" s="27">
        <v>45950</v>
      </c>
    </row>
    <row r="15" spans="1:25">
      <c r="A15" s="58" t="s">
        <v>3</v>
      </c>
      <c r="B15" s="46" t="s">
        <v>18</v>
      </c>
      <c r="C15" s="46"/>
      <c r="D15" s="46"/>
      <c r="E15" s="47" t="s">
        <v>19</v>
      </c>
      <c r="F15" s="47"/>
      <c r="G15" s="26">
        <v>8</v>
      </c>
      <c r="H15" s="26">
        <v>8</v>
      </c>
      <c r="I15" s="28">
        <v>0</v>
      </c>
      <c r="J15" s="26">
        <v>0</v>
      </c>
      <c r="K15" s="26">
        <v>0</v>
      </c>
      <c r="L15" s="26">
        <v>0</v>
      </c>
      <c r="M15" s="26">
        <v>0</v>
      </c>
      <c r="N15" s="26">
        <v>0</v>
      </c>
      <c r="O15" s="26">
        <v>0</v>
      </c>
      <c r="P15" s="26">
        <v>0</v>
      </c>
      <c r="Q15" s="26">
        <v>0</v>
      </c>
      <c r="R15" s="26">
        <v>0</v>
      </c>
      <c r="S15" s="26">
        <v>0</v>
      </c>
      <c r="T15" s="26">
        <v>0</v>
      </c>
      <c r="U15" s="26">
        <v>0</v>
      </c>
      <c r="V15" s="26">
        <v>0</v>
      </c>
      <c r="W15" s="26">
        <v>0</v>
      </c>
      <c r="X15" s="26">
        <v>0</v>
      </c>
      <c r="Y15" s="26">
        <v>0</v>
      </c>
    </row>
    <row r="16" spans="1:25">
      <c r="A16" s="58"/>
      <c r="B16" s="46" t="s">
        <v>20</v>
      </c>
      <c r="C16" s="46"/>
      <c r="D16" s="46"/>
      <c r="E16" s="48" t="s">
        <v>220</v>
      </c>
      <c r="F16" s="47"/>
      <c r="G16" s="26">
        <v>8</v>
      </c>
      <c r="H16" s="26">
        <v>8</v>
      </c>
      <c r="I16" s="28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0</v>
      </c>
      <c r="S16" s="26">
        <v>0</v>
      </c>
      <c r="T16" s="26">
        <v>0</v>
      </c>
      <c r="U16" s="26">
        <v>0</v>
      </c>
      <c r="V16" s="26">
        <v>0</v>
      </c>
      <c r="W16" s="26">
        <v>0</v>
      </c>
      <c r="X16" s="26">
        <v>0</v>
      </c>
      <c r="Y16" s="26">
        <v>0</v>
      </c>
    </row>
    <row r="17" spans="1:25">
      <c r="A17" s="58"/>
      <c r="B17" s="46" t="s">
        <v>21</v>
      </c>
      <c r="C17" s="46"/>
      <c r="D17" s="46"/>
      <c r="E17" s="48" t="s">
        <v>221</v>
      </c>
      <c r="F17" s="47"/>
      <c r="G17" s="26">
        <v>8</v>
      </c>
      <c r="H17" s="26">
        <v>8</v>
      </c>
      <c r="I17" s="28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26">
        <v>0</v>
      </c>
      <c r="Y17" s="26">
        <v>0</v>
      </c>
    </row>
    <row r="18" spans="1:25">
      <c r="A18" s="58"/>
      <c r="B18" s="59" t="s">
        <v>22</v>
      </c>
      <c r="C18" s="46" t="s">
        <v>23</v>
      </c>
      <c r="D18" s="46"/>
      <c r="E18" s="48" t="s">
        <v>220</v>
      </c>
      <c r="F18" s="47"/>
      <c r="G18" s="26">
        <v>1</v>
      </c>
      <c r="H18" s="26">
        <v>1</v>
      </c>
      <c r="I18" s="26">
        <v>1</v>
      </c>
      <c r="J18" s="28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P18" s="26">
        <v>0</v>
      </c>
      <c r="Q18" s="26">
        <v>0</v>
      </c>
      <c r="R18" s="26">
        <v>0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</row>
    <row r="19" spans="1:25">
      <c r="A19" s="58"/>
      <c r="B19" s="60"/>
      <c r="C19" s="46" t="s">
        <v>24</v>
      </c>
      <c r="D19" s="46"/>
      <c r="E19" s="48" t="s">
        <v>220</v>
      </c>
      <c r="F19" s="47"/>
      <c r="G19" s="26">
        <v>1</v>
      </c>
      <c r="H19" s="26">
        <v>1</v>
      </c>
      <c r="I19" s="26">
        <v>1</v>
      </c>
      <c r="J19" s="26">
        <v>1</v>
      </c>
      <c r="K19" s="28">
        <v>0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</row>
    <row r="20" spans="1:25">
      <c r="A20" s="58"/>
      <c r="B20" s="60"/>
      <c r="C20" s="46" t="s">
        <v>25</v>
      </c>
      <c r="D20" s="46"/>
      <c r="E20" s="48" t="s">
        <v>220</v>
      </c>
      <c r="F20" s="47"/>
      <c r="G20" s="26">
        <v>1</v>
      </c>
      <c r="H20" s="26">
        <v>1</v>
      </c>
      <c r="I20" s="26">
        <v>1</v>
      </c>
      <c r="J20" s="26">
        <v>1</v>
      </c>
      <c r="K20" s="26">
        <v>1</v>
      </c>
      <c r="L20" s="28">
        <v>0</v>
      </c>
      <c r="M20" s="26">
        <v>0</v>
      </c>
      <c r="N20" s="26">
        <v>0</v>
      </c>
      <c r="O20" s="26">
        <v>0</v>
      </c>
      <c r="P20" s="26">
        <v>0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>
        <v>0</v>
      </c>
      <c r="W20" s="26">
        <v>0</v>
      </c>
      <c r="X20" s="26">
        <v>0</v>
      </c>
      <c r="Y20" s="26">
        <v>0</v>
      </c>
    </row>
    <row r="21" spans="1:25">
      <c r="A21" s="58"/>
      <c r="B21" s="60"/>
      <c r="C21" s="46" t="s">
        <v>26</v>
      </c>
      <c r="D21" s="46"/>
      <c r="E21" s="48" t="s">
        <v>220</v>
      </c>
      <c r="F21" s="47"/>
      <c r="G21" s="26">
        <v>1</v>
      </c>
      <c r="H21" s="26">
        <v>1</v>
      </c>
      <c r="I21" s="26">
        <v>1</v>
      </c>
      <c r="J21" s="26">
        <v>1</v>
      </c>
      <c r="K21" s="26">
        <v>1</v>
      </c>
      <c r="L21" s="26">
        <v>1</v>
      </c>
      <c r="M21" s="28">
        <v>0</v>
      </c>
      <c r="N21" s="26">
        <v>0</v>
      </c>
      <c r="O21" s="26">
        <v>0</v>
      </c>
      <c r="P21" s="26">
        <v>0</v>
      </c>
      <c r="Q21" s="26">
        <v>0</v>
      </c>
      <c r="R21" s="26">
        <v>0</v>
      </c>
      <c r="S21" s="26">
        <v>0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</row>
    <row r="22" spans="1:25">
      <c r="A22" s="58"/>
      <c r="B22" s="60"/>
      <c r="C22" s="46" t="s">
        <v>27</v>
      </c>
      <c r="D22" s="46"/>
      <c r="E22" s="48" t="s">
        <v>220</v>
      </c>
      <c r="F22" s="47"/>
      <c r="G22" s="26">
        <v>1</v>
      </c>
      <c r="H22" s="26">
        <v>1</v>
      </c>
      <c r="I22" s="26">
        <v>1</v>
      </c>
      <c r="J22" s="26">
        <v>1</v>
      </c>
      <c r="K22" s="26">
        <v>1</v>
      </c>
      <c r="L22" s="26">
        <v>1</v>
      </c>
      <c r="M22" s="28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0</v>
      </c>
      <c r="U22" s="26">
        <v>0</v>
      </c>
      <c r="V22" s="26">
        <v>0</v>
      </c>
      <c r="W22" s="26">
        <v>0</v>
      </c>
      <c r="X22" s="26">
        <v>0</v>
      </c>
      <c r="Y22" s="26">
        <v>0</v>
      </c>
    </row>
    <row r="23" spans="1:25">
      <c r="A23" s="58"/>
      <c r="B23" s="60"/>
      <c r="C23" s="46" t="s">
        <v>28</v>
      </c>
      <c r="D23" s="46"/>
      <c r="E23" s="48" t="s">
        <v>220</v>
      </c>
      <c r="F23" s="47"/>
      <c r="G23" s="26">
        <v>1</v>
      </c>
      <c r="H23" s="26">
        <v>1</v>
      </c>
      <c r="I23" s="26">
        <v>1</v>
      </c>
      <c r="J23" s="26">
        <v>1</v>
      </c>
      <c r="K23" s="26">
        <v>1</v>
      </c>
      <c r="L23" s="26">
        <v>1</v>
      </c>
      <c r="M23" s="28">
        <v>0</v>
      </c>
      <c r="N23" s="26">
        <v>0</v>
      </c>
      <c r="O23" s="26">
        <v>0</v>
      </c>
      <c r="P23" s="26">
        <v>0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0</v>
      </c>
      <c r="W23" s="26">
        <v>0</v>
      </c>
      <c r="X23" s="26">
        <v>0</v>
      </c>
      <c r="Y23" s="26">
        <v>0</v>
      </c>
    </row>
    <row r="24" spans="1:25">
      <c r="A24" s="58"/>
      <c r="B24" s="60"/>
      <c r="C24" s="49" t="s">
        <v>29</v>
      </c>
      <c r="D24" s="50"/>
      <c r="E24" s="48" t="s">
        <v>220</v>
      </c>
      <c r="F24" s="47"/>
      <c r="G24" s="26">
        <v>1</v>
      </c>
      <c r="H24" s="26">
        <v>1</v>
      </c>
      <c r="I24" s="26">
        <v>1</v>
      </c>
      <c r="J24" s="26">
        <v>1</v>
      </c>
      <c r="K24" s="26">
        <v>1</v>
      </c>
      <c r="L24" s="26">
        <v>1</v>
      </c>
      <c r="M24" s="26">
        <v>1</v>
      </c>
      <c r="N24" s="28">
        <v>0</v>
      </c>
      <c r="O24" s="26">
        <v>0</v>
      </c>
      <c r="P24" s="26">
        <v>0</v>
      </c>
      <c r="Q24" s="26">
        <v>0</v>
      </c>
      <c r="R24" s="26">
        <v>0</v>
      </c>
      <c r="S24" s="26">
        <v>0</v>
      </c>
      <c r="T24" s="26">
        <v>0</v>
      </c>
      <c r="U24" s="26">
        <v>0</v>
      </c>
      <c r="V24" s="26">
        <v>0</v>
      </c>
      <c r="W24" s="26">
        <v>0</v>
      </c>
      <c r="X24" s="26">
        <v>0</v>
      </c>
      <c r="Y24" s="26">
        <v>0</v>
      </c>
    </row>
    <row r="25" spans="1:25">
      <c r="A25" s="58"/>
      <c r="B25" s="60"/>
      <c r="C25" s="49" t="s">
        <v>30</v>
      </c>
      <c r="D25" s="50"/>
      <c r="E25" s="51" t="s">
        <v>216</v>
      </c>
      <c r="F25" s="52"/>
      <c r="G25" s="26">
        <v>1</v>
      </c>
      <c r="H25" s="26">
        <v>1</v>
      </c>
      <c r="I25" s="26">
        <v>1</v>
      </c>
      <c r="J25" s="26">
        <v>1</v>
      </c>
      <c r="K25" s="26">
        <v>1</v>
      </c>
      <c r="L25" s="26">
        <v>1</v>
      </c>
      <c r="M25" s="26">
        <v>1</v>
      </c>
      <c r="N25" s="28">
        <v>0</v>
      </c>
      <c r="O25" s="26">
        <v>0</v>
      </c>
      <c r="P25" s="26">
        <v>0</v>
      </c>
      <c r="Q25" s="26">
        <v>0</v>
      </c>
      <c r="R25" s="26">
        <v>0</v>
      </c>
      <c r="S25" s="26">
        <v>0</v>
      </c>
      <c r="T25" s="26">
        <v>0</v>
      </c>
      <c r="U25" s="26">
        <v>0</v>
      </c>
      <c r="V25" s="26">
        <v>0</v>
      </c>
      <c r="W25" s="26">
        <v>0</v>
      </c>
      <c r="X25" s="26">
        <v>0</v>
      </c>
      <c r="Y25" s="26">
        <v>0</v>
      </c>
    </row>
    <row r="26" spans="1:25">
      <c r="A26" s="58"/>
      <c r="B26" s="60"/>
      <c r="C26" s="46" t="s">
        <v>31</v>
      </c>
      <c r="D26" s="46"/>
      <c r="E26" s="48" t="s">
        <v>222</v>
      </c>
      <c r="F26" s="47"/>
      <c r="G26" s="26">
        <v>8</v>
      </c>
      <c r="H26" s="26">
        <v>10</v>
      </c>
      <c r="I26" s="26">
        <v>10</v>
      </c>
      <c r="J26" s="26">
        <v>10</v>
      </c>
      <c r="K26" s="26">
        <v>10</v>
      </c>
      <c r="L26" s="26">
        <v>10</v>
      </c>
      <c r="M26" s="26">
        <v>8</v>
      </c>
      <c r="N26" s="28">
        <v>0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</row>
    <row r="27" spans="1:25">
      <c r="A27" s="58"/>
      <c r="B27" s="61"/>
      <c r="C27" s="46"/>
      <c r="D27" s="46"/>
      <c r="E27" s="47"/>
      <c r="F27" s="47"/>
      <c r="G27" s="26"/>
      <c r="H27" s="26"/>
      <c r="I27" s="26"/>
      <c r="J27" s="26"/>
      <c r="K27" s="26"/>
      <c r="L27" s="26"/>
      <c r="M27" s="26"/>
      <c r="N27" s="29">
        <v>2</v>
      </c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 spans="1:25">
      <c r="A28" s="58"/>
      <c r="B28" s="58" t="s">
        <v>32</v>
      </c>
      <c r="C28" s="46" t="s">
        <v>23</v>
      </c>
      <c r="D28" s="46"/>
      <c r="E28" s="51" t="s">
        <v>216</v>
      </c>
      <c r="F28" s="52"/>
      <c r="G28" s="26">
        <v>1</v>
      </c>
      <c r="H28" s="26">
        <v>1</v>
      </c>
      <c r="I28" s="26">
        <v>1</v>
      </c>
      <c r="J28" s="26">
        <v>1</v>
      </c>
      <c r="K28" s="26">
        <v>1</v>
      </c>
      <c r="L28" s="26">
        <v>1</v>
      </c>
      <c r="M28" s="26">
        <v>1</v>
      </c>
      <c r="N28" s="26">
        <v>1</v>
      </c>
      <c r="O28" s="28">
        <v>0</v>
      </c>
      <c r="P28" s="26">
        <v>0</v>
      </c>
      <c r="Q28" s="26">
        <v>0</v>
      </c>
      <c r="R28" s="26">
        <v>0</v>
      </c>
      <c r="S28" s="26">
        <v>0</v>
      </c>
      <c r="T28" s="26">
        <v>0</v>
      </c>
      <c r="U28" s="26">
        <v>0</v>
      </c>
      <c r="V28" s="26">
        <v>0</v>
      </c>
      <c r="W28" s="26">
        <v>0</v>
      </c>
      <c r="X28" s="26">
        <v>0</v>
      </c>
      <c r="Y28" s="26">
        <v>0</v>
      </c>
    </row>
    <row r="29" spans="1:25">
      <c r="A29" s="58"/>
      <c r="B29" s="58"/>
      <c r="C29" s="46" t="s">
        <v>24</v>
      </c>
      <c r="D29" s="46"/>
      <c r="E29" s="51" t="s">
        <v>220</v>
      </c>
      <c r="F29" s="52"/>
      <c r="G29" s="26">
        <v>1</v>
      </c>
      <c r="H29" s="26">
        <v>1</v>
      </c>
      <c r="I29" s="26">
        <v>1</v>
      </c>
      <c r="J29" s="26">
        <v>1</v>
      </c>
      <c r="K29" s="26">
        <v>1</v>
      </c>
      <c r="L29" s="26">
        <v>1</v>
      </c>
      <c r="M29" s="26">
        <v>1</v>
      </c>
      <c r="N29" s="26">
        <v>1</v>
      </c>
      <c r="O29" s="28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</row>
    <row r="30" spans="1:25">
      <c r="A30" s="58"/>
      <c r="B30" s="58"/>
      <c r="C30" s="46" t="s">
        <v>25</v>
      </c>
      <c r="D30" s="46"/>
      <c r="E30" s="51" t="s">
        <v>216</v>
      </c>
      <c r="F30" s="52"/>
      <c r="G30" s="26">
        <v>1</v>
      </c>
      <c r="H30" s="26">
        <v>1</v>
      </c>
      <c r="I30" s="26">
        <v>1</v>
      </c>
      <c r="J30" s="26">
        <v>1</v>
      </c>
      <c r="K30" s="26">
        <v>1</v>
      </c>
      <c r="L30" s="26">
        <v>1</v>
      </c>
      <c r="M30" s="26">
        <v>1</v>
      </c>
      <c r="N30" s="26">
        <v>1</v>
      </c>
      <c r="O30" s="28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</row>
    <row r="31" spans="1:25">
      <c r="A31" s="58"/>
      <c r="B31" s="58"/>
      <c r="C31" s="46" t="s">
        <v>26</v>
      </c>
      <c r="D31" s="46"/>
      <c r="E31" s="51" t="s">
        <v>216</v>
      </c>
      <c r="F31" s="52"/>
      <c r="G31" s="26">
        <v>1</v>
      </c>
      <c r="H31" s="26">
        <v>1</v>
      </c>
      <c r="I31" s="26">
        <v>1</v>
      </c>
      <c r="J31" s="26">
        <v>1</v>
      </c>
      <c r="K31" s="26">
        <v>1</v>
      </c>
      <c r="L31" s="26">
        <v>1</v>
      </c>
      <c r="M31" s="26">
        <v>1</v>
      </c>
      <c r="N31" s="26">
        <v>1</v>
      </c>
      <c r="O31" s="28">
        <v>0</v>
      </c>
      <c r="P31" s="26">
        <v>0</v>
      </c>
      <c r="Q31" s="26">
        <v>0</v>
      </c>
      <c r="R31" s="26">
        <v>0</v>
      </c>
      <c r="S31" s="26">
        <v>0</v>
      </c>
      <c r="T31" s="26">
        <v>0</v>
      </c>
      <c r="U31" s="26">
        <v>0</v>
      </c>
      <c r="V31" s="26">
        <v>0</v>
      </c>
      <c r="W31" s="26">
        <v>0</v>
      </c>
      <c r="X31" s="26">
        <v>0</v>
      </c>
      <c r="Y31" s="26">
        <v>0</v>
      </c>
    </row>
    <row r="32" spans="1:25">
      <c r="A32" s="58"/>
      <c r="B32" s="58"/>
      <c r="C32" s="46" t="s">
        <v>27</v>
      </c>
      <c r="D32" s="46"/>
      <c r="E32" s="51" t="s">
        <v>220</v>
      </c>
      <c r="F32" s="52"/>
      <c r="G32" s="26">
        <v>1</v>
      </c>
      <c r="H32" s="26">
        <v>1</v>
      </c>
      <c r="I32" s="26">
        <v>1</v>
      </c>
      <c r="J32" s="26">
        <v>1</v>
      </c>
      <c r="K32" s="26">
        <v>1</v>
      </c>
      <c r="L32" s="26">
        <v>1</v>
      </c>
      <c r="M32" s="26">
        <v>1</v>
      </c>
      <c r="N32" s="26">
        <v>0</v>
      </c>
      <c r="O32" s="28">
        <v>0</v>
      </c>
      <c r="P32" s="26">
        <v>0</v>
      </c>
      <c r="Q32" s="26">
        <v>0</v>
      </c>
      <c r="R32" s="26">
        <v>0</v>
      </c>
      <c r="S32" s="26">
        <v>0</v>
      </c>
      <c r="T32" s="26">
        <v>0</v>
      </c>
      <c r="U32" s="26">
        <v>0</v>
      </c>
      <c r="V32" s="26">
        <v>0</v>
      </c>
      <c r="W32" s="26">
        <v>0</v>
      </c>
      <c r="X32" s="26">
        <v>0</v>
      </c>
      <c r="Y32" s="26">
        <v>0</v>
      </c>
    </row>
    <row r="33" spans="1:31">
      <c r="A33" s="58"/>
      <c r="B33" s="58"/>
      <c r="C33" s="46" t="s">
        <v>28</v>
      </c>
      <c r="D33" s="46"/>
      <c r="E33" s="51" t="s">
        <v>216</v>
      </c>
      <c r="F33" s="52"/>
      <c r="G33" s="26">
        <v>1</v>
      </c>
      <c r="H33" s="26">
        <v>1</v>
      </c>
      <c r="I33" s="26">
        <v>1</v>
      </c>
      <c r="J33" s="26">
        <v>1</v>
      </c>
      <c r="K33" s="26">
        <v>1</v>
      </c>
      <c r="L33" s="26">
        <v>1</v>
      </c>
      <c r="M33" s="26">
        <v>1</v>
      </c>
      <c r="N33" s="26">
        <v>1</v>
      </c>
      <c r="O33" s="28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AE33" s="10" t="s">
        <v>33</v>
      </c>
    </row>
    <row r="34" spans="1:31">
      <c r="A34" s="58"/>
      <c r="B34" s="58"/>
      <c r="C34" s="49" t="s">
        <v>29</v>
      </c>
      <c r="D34" s="50"/>
      <c r="E34" s="51" t="s">
        <v>216</v>
      </c>
      <c r="F34" s="52"/>
      <c r="G34" s="26">
        <v>2</v>
      </c>
      <c r="H34" s="26">
        <v>2</v>
      </c>
      <c r="I34" s="26">
        <v>2</v>
      </c>
      <c r="J34" s="26">
        <v>2</v>
      </c>
      <c r="K34" s="26">
        <v>2</v>
      </c>
      <c r="L34" s="26">
        <v>2</v>
      </c>
      <c r="M34" s="26">
        <v>2</v>
      </c>
      <c r="N34" s="26">
        <v>2</v>
      </c>
      <c r="O34" s="28">
        <v>0</v>
      </c>
      <c r="P34" s="3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</row>
    <row r="35" spans="1:31">
      <c r="A35" s="58"/>
      <c r="B35" s="58"/>
      <c r="C35" s="49" t="s">
        <v>30</v>
      </c>
      <c r="D35" s="50"/>
      <c r="E35" s="51" t="s">
        <v>216</v>
      </c>
      <c r="F35" s="52"/>
      <c r="G35" s="26">
        <v>1</v>
      </c>
      <c r="H35" s="26">
        <v>2</v>
      </c>
      <c r="I35" s="26">
        <v>2</v>
      </c>
      <c r="J35" s="26">
        <v>2</v>
      </c>
      <c r="K35" s="26">
        <v>2</v>
      </c>
      <c r="L35" s="26">
        <v>2</v>
      </c>
      <c r="M35" s="26">
        <v>2</v>
      </c>
      <c r="N35" s="26">
        <v>1</v>
      </c>
      <c r="O35" s="28">
        <v>0</v>
      </c>
      <c r="P35" s="36">
        <v>0</v>
      </c>
      <c r="Q35" s="26">
        <v>0</v>
      </c>
      <c r="R35" s="26">
        <v>0</v>
      </c>
      <c r="S35" s="26">
        <v>0</v>
      </c>
      <c r="T35" s="26">
        <v>0</v>
      </c>
      <c r="U35" s="26">
        <v>0</v>
      </c>
      <c r="V35" s="26">
        <v>0</v>
      </c>
      <c r="W35" s="26">
        <v>0</v>
      </c>
      <c r="X35" s="26">
        <v>0</v>
      </c>
      <c r="Y35" s="26">
        <v>0</v>
      </c>
    </row>
    <row r="36" spans="1:31">
      <c r="A36" s="58"/>
      <c r="B36" s="58"/>
      <c r="C36" s="46"/>
      <c r="D36" s="46"/>
      <c r="E36" s="47"/>
      <c r="F36" s="47"/>
      <c r="G36" s="26"/>
      <c r="H36" s="26"/>
      <c r="I36" s="26"/>
      <c r="J36" s="26"/>
      <c r="K36" s="26"/>
      <c r="L36" s="26"/>
      <c r="M36" s="26"/>
      <c r="N36" s="26"/>
      <c r="O36" s="29">
        <v>1</v>
      </c>
      <c r="P36" s="36"/>
      <c r="Q36" s="37"/>
      <c r="R36" s="26"/>
      <c r="S36" s="26"/>
      <c r="T36" s="26"/>
      <c r="U36" s="26"/>
      <c r="V36" s="26"/>
      <c r="W36" s="26"/>
      <c r="X36" s="26"/>
      <c r="Y36" s="26"/>
    </row>
    <row r="37" spans="1:31">
      <c r="A37" s="58"/>
      <c r="B37" s="58"/>
      <c r="C37" s="46" t="s">
        <v>34</v>
      </c>
      <c r="D37" s="46"/>
      <c r="E37" s="48" t="s">
        <v>222</v>
      </c>
      <c r="F37" s="47"/>
      <c r="G37" s="26">
        <v>5</v>
      </c>
      <c r="H37" s="26">
        <v>10</v>
      </c>
      <c r="I37" s="26">
        <v>10</v>
      </c>
      <c r="J37" s="26">
        <v>10</v>
      </c>
      <c r="K37" s="26">
        <v>10</v>
      </c>
      <c r="L37" s="26">
        <v>10</v>
      </c>
      <c r="M37" s="26">
        <v>10</v>
      </c>
      <c r="N37" s="26">
        <v>10</v>
      </c>
      <c r="O37" s="26">
        <v>5</v>
      </c>
      <c r="P37" s="28">
        <v>0</v>
      </c>
      <c r="Q37" s="3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</row>
    <row r="38" spans="1:31">
      <c r="A38" s="58"/>
      <c r="B38" s="58"/>
      <c r="C38" s="46"/>
      <c r="D38" s="46"/>
      <c r="E38" s="47"/>
      <c r="F38" s="47"/>
      <c r="G38" s="26"/>
      <c r="H38" s="26"/>
      <c r="I38" s="26"/>
      <c r="J38" s="26"/>
      <c r="K38" s="26"/>
      <c r="L38" s="26"/>
      <c r="M38" s="26"/>
      <c r="N38" s="26"/>
      <c r="O38" s="26"/>
      <c r="P38" s="29">
        <v>5</v>
      </c>
      <c r="Q38" s="26"/>
      <c r="R38" s="26"/>
      <c r="S38" s="26"/>
      <c r="T38" s="26"/>
      <c r="U38" s="26"/>
      <c r="V38" s="26"/>
      <c r="W38" s="26"/>
      <c r="X38" s="26"/>
      <c r="Y38" s="26"/>
    </row>
    <row r="39" spans="1:31">
      <c r="A39" s="58"/>
      <c r="B39" s="58" t="s">
        <v>35</v>
      </c>
      <c r="C39" s="46" t="s">
        <v>36</v>
      </c>
      <c r="D39" s="46"/>
      <c r="E39" s="48" t="s">
        <v>223</v>
      </c>
      <c r="F39" s="47"/>
      <c r="G39" s="26">
        <v>2</v>
      </c>
      <c r="H39" s="26">
        <v>2</v>
      </c>
      <c r="I39" s="26">
        <v>2</v>
      </c>
      <c r="J39" s="26">
        <v>2</v>
      </c>
      <c r="K39" s="26">
        <v>2</v>
      </c>
      <c r="L39" s="26">
        <v>2</v>
      </c>
      <c r="M39" s="26">
        <v>2</v>
      </c>
      <c r="N39" s="26">
        <v>2</v>
      </c>
      <c r="O39" s="26">
        <v>2</v>
      </c>
      <c r="P39" s="26">
        <v>2</v>
      </c>
      <c r="Q39" s="28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</row>
    <row r="40" spans="1:31">
      <c r="A40" s="58"/>
      <c r="B40" s="58"/>
      <c r="C40" s="46" t="s">
        <v>37</v>
      </c>
      <c r="D40" s="46"/>
      <c r="E40" s="48" t="s">
        <v>224</v>
      </c>
      <c r="F40" s="47"/>
      <c r="G40" s="26">
        <v>2</v>
      </c>
      <c r="H40" s="26">
        <v>2</v>
      </c>
      <c r="I40" s="26">
        <v>2</v>
      </c>
      <c r="J40" s="26">
        <v>2</v>
      </c>
      <c r="K40" s="26">
        <v>2</v>
      </c>
      <c r="L40" s="26">
        <v>2</v>
      </c>
      <c r="M40" s="26">
        <v>2</v>
      </c>
      <c r="N40" s="26">
        <v>2</v>
      </c>
      <c r="O40" s="26">
        <v>2</v>
      </c>
      <c r="P40" s="26">
        <v>2</v>
      </c>
      <c r="Q40" s="28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</row>
    <row r="41" spans="1:31">
      <c r="A41" s="58"/>
      <c r="B41" s="58"/>
      <c r="C41" s="46" t="s">
        <v>38</v>
      </c>
      <c r="D41" s="46"/>
      <c r="E41" s="48" t="s">
        <v>223</v>
      </c>
      <c r="F41" s="47"/>
      <c r="G41" s="26">
        <v>2</v>
      </c>
      <c r="H41" s="26">
        <v>2</v>
      </c>
      <c r="I41" s="26">
        <v>2</v>
      </c>
      <c r="J41" s="26">
        <v>2</v>
      </c>
      <c r="K41" s="26">
        <v>2</v>
      </c>
      <c r="L41" s="26">
        <v>2</v>
      </c>
      <c r="M41" s="26">
        <v>2</v>
      </c>
      <c r="N41" s="26">
        <v>2</v>
      </c>
      <c r="O41" s="26">
        <v>2</v>
      </c>
      <c r="P41" s="26">
        <v>2</v>
      </c>
      <c r="Q41" s="28">
        <v>0</v>
      </c>
      <c r="R41" s="26">
        <v>0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  <c r="X41" s="26">
        <v>0</v>
      </c>
      <c r="Y41" s="26">
        <v>0</v>
      </c>
    </row>
    <row r="42" spans="1:31">
      <c r="A42" s="58"/>
      <c r="B42" s="58"/>
      <c r="C42" s="46" t="s">
        <v>39</v>
      </c>
      <c r="D42" s="46"/>
      <c r="E42" s="48" t="s">
        <v>224</v>
      </c>
      <c r="F42" s="47"/>
      <c r="G42" s="26">
        <v>2</v>
      </c>
      <c r="H42" s="26">
        <v>2</v>
      </c>
      <c r="I42" s="26">
        <v>2</v>
      </c>
      <c r="J42" s="26">
        <v>2</v>
      </c>
      <c r="K42" s="26">
        <v>2</v>
      </c>
      <c r="L42" s="26">
        <v>2</v>
      </c>
      <c r="M42" s="26">
        <v>2</v>
      </c>
      <c r="N42" s="26">
        <v>2</v>
      </c>
      <c r="O42" s="26">
        <v>2</v>
      </c>
      <c r="P42" s="26">
        <v>2</v>
      </c>
      <c r="Q42" s="26">
        <v>2</v>
      </c>
      <c r="R42" s="28">
        <v>0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6">
        <v>0</v>
      </c>
    </row>
    <row r="43" spans="1:31">
      <c r="A43" s="58"/>
      <c r="B43" s="58"/>
      <c r="C43" s="46" t="s">
        <v>40</v>
      </c>
      <c r="D43" s="46"/>
      <c r="E43" s="48" t="s">
        <v>223</v>
      </c>
      <c r="F43" s="47"/>
      <c r="G43" s="26">
        <v>2</v>
      </c>
      <c r="H43" s="26">
        <v>2</v>
      </c>
      <c r="I43" s="26">
        <v>2</v>
      </c>
      <c r="J43" s="26">
        <v>2</v>
      </c>
      <c r="K43" s="26">
        <v>2</v>
      </c>
      <c r="L43" s="26">
        <v>2</v>
      </c>
      <c r="M43" s="26">
        <v>2</v>
      </c>
      <c r="N43" s="26">
        <v>2</v>
      </c>
      <c r="O43" s="26">
        <v>2</v>
      </c>
      <c r="P43" s="26">
        <v>2</v>
      </c>
      <c r="Q43" s="26">
        <v>2</v>
      </c>
      <c r="R43" s="28">
        <v>0</v>
      </c>
      <c r="S43" s="26">
        <v>0</v>
      </c>
      <c r="T43" s="26">
        <v>0</v>
      </c>
      <c r="U43" s="26">
        <v>0</v>
      </c>
      <c r="V43" s="26">
        <v>0</v>
      </c>
      <c r="W43" s="26">
        <v>0</v>
      </c>
      <c r="X43" s="26">
        <v>0</v>
      </c>
      <c r="Y43" s="26">
        <v>0</v>
      </c>
    </row>
    <row r="44" spans="1:31">
      <c r="A44" s="58"/>
      <c r="B44" s="58"/>
      <c r="C44" s="46"/>
      <c r="D44" s="46"/>
      <c r="E44" s="47"/>
      <c r="F44" s="47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>
        <v>0</v>
      </c>
      <c r="U44" s="26"/>
      <c r="V44" s="26"/>
      <c r="W44" s="26"/>
      <c r="X44" s="26"/>
      <c r="Y44" s="26"/>
    </row>
    <row r="45" spans="1:31">
      <c r="A45" s="58"/>
      <c r="B45" s="58"/>
      <c r="C45" s="46" t="s">
        <v>41</v>
      </c>
      <c r="D45" s="46"/>
      <c r="E45" s="48" t="s">
        <v>224</v>
      </c>
      <c r="F45" s="47"/>
      <c r="G45" s="26">
        <v>3</v>
      </c>
      <c r="H45" s="26">
        <v>2</v>
      </c>
      <c r="I45" s="26">
        <v>2</v>
      </c>
      <c r="J45" s="26">
        <v>2</v>
      </c>
      <c r="K45" s="26">
        <v>2</v>
      </c>
      <c r="L45" s="26">
        <v>2</v>
      </c>
      <c r="M45" s="26">
        <v>2</v>
      </c>
      <c r="N45" s="26">
        <v>2</v>
      </c>
      <c r="O45" s="26">
        <v>2</v>
      </c>
      <c r="P45" s="26">
        <v>2</v>
      </c>
      <c r="Q45" s="26">
        <v>3</v>
      </c>
      <c r="R45" s="28">
        <v>0</v>
      </c>
      <c r="S45" s="26">
        <v>0</v>
      </c>
      <c r="T45" s="26">
        <v>0</v>
      </c>
      <c r="U45" s="26">
        <v>0</v>
      </c>
      <c r="V45" s="26">
        <v>0</v>
      </c>
      <c r="W45" s="26">
        <v>0</v>
      </c>
      <c r="X45" s="26">
        <v>0</v>
      </c>
      <c r="Y45" s="26">
        <v>0</v>
      </c>
    </row>
    <row r="46" spans="1:31">
      <c r="A46" s="58"/>
      <c r="B46" s="58"/>
      <c r="C46" s="46"/>
      <c r="D46" s="46"/>
      <c r="E46" s="47"/>
      <c r="F46" s="47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30">
        <v>1</v>
      </c>
      <c r="S46" s="26"/>
      <c r="T46" s="26"/>
      <c r="U46" s="26"/>
      <c r="V46" s="26"/>
      <c r="W46" s="26"/>
      <c r="X46" s="26"/>
      <c r="Y46" s="26"/>
    </row>
    <row r="47" spans="1:31">
      <c r="A47" s="58"/>
      <c r="B47" s="58"/>
      <c r="C47" s="46" t="s">
        <v>42</v>
      </c>
      <c r="D47" s="46"/>
      <c r="E47" s="48" t="s">
        <v>223</v>
      </c>
      <c r="F47" s="47"/>
      <c r="G47" s="26">
        <v>4</v>
      </c>
      <c r="H47" s="26">
        <v>4</v>
      </c>
      <c r="I47" s="26">
        <v>4</v>
      </c>
      <c r="J47" s="26">
        <v>4</v>
      </c>
      <c r="K47" s="26">
        <v>4</v>
      </c>
      <c r="L47" s="26">
        <v>4</v>
      </c>
      <c r="M47" s="26">
        <v>4</v>
      </c>
      <c r="N47" s="26">
        <v>4</v>
      </c>
      <c r="O47" s="26">
        <v>4</v>
      </c>
      <c r="P47" s="26">
        <v>4</v>
      </c>
      <c r="Q47" s="26">
        <v>4</v>
      </c>
      <c r="R47" s="26">
        <v>4</v>
      </c>
      <c r="S47" s="28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</row>
    <row r="48" spans="1:31">
      <c r="A48" s="58"/>
      <c r="B48" s="58"/>
      <c r="C48" s="46" t="s">
        <v>43</v>
      </c>
      <c r="D48" s="46"/>
      <c r="E48" s="48" t="s">
        <v>224</v>
      </c>
      <c r="F48" s="47"/>
      <c r="G48" s="26">
        <v>4</v>
      </c>
      <c r="H48" s="26">
        <v>4</v>
      </c>
      <c r="I48" s="26">
        <v>4</v>
      </c>
      <c r="J48" s="26">
        <v>4</v>
      </c>
      <c r="K48" s="26">
        <v>4</v>
      </c>
      <c r="L48" s="26">
        <v>4</v>
      </c>
      <c r="M48" s="26">
        <v>4</v>
      </c>
      <c r="N48" s="26">
        <v>4</v>
      </c>
      <c r="O48" s="26">
        <v>4</v>
      </c>
      <c r="P48" s="26">
        <v>4</v>
      </c>
      <c r="Q48" s="26">
        <v>4</v>
      </c>
      <c r="R48" s="26">
        <v>4</v>
      </c>
      <c r="S48" s="28">
        <v>0</v>
      </c>
      <c r="T48" s="26">
        <v>0</v>
      </c>
      <c r="U48" s="26">
        <v>0</v>
      </c>
      <c r="V48" s="26">
        <v>0</v>
      </c>
      <c r="W48" s="26">
        <v>0</v>
      </c>
      <c r="X48" s="26">
        <v>0</v>
      </c>
      <c r="Y48" s="26">
        <v>0</v>
      </c>
    </row>
    <row r="49" spans="1:25">
      <c r="A49" s="58"/>
      <c r="B49" s="58"/>
      <c r="C49" s="46" t="s">
        <v>44</v>
      </c>
      <c r="D49" s="46"/>
      <c r="E49" s="48" t="s">
        <v>223</v>
      </c>
      <c r="F49" s="47"/>
      <c r="G49" s="26">
        <v>4</v>
      </c>
      <c r="H49" s="26">
        <v>4</v>
      </c>
      <c r="I49" s="26">
        <v>4</v>
      </c>
      <c r="J49" s="26">
        <v>4</v>
      </c>
      <c r="K49" s="26">
        <v>4</v>
      </c>
      <c r="L49" s="26">
        <v>4</v>
      </c>
      <c r="M49" s="26">
        <v>4</v>
      </c>
      <c r="N49" s="26">
        <v>4</v>
      </c>
      <c r="O49" s="26">
        <v>4</v>
      </c>
      <c r="P49" s="26">
        <v>4</v>
      </c>
      <c r="Q49" s="26">
        <v>4</v>
      </c>
      <c r="R49" s="26">
        <v>4</v>
      </c>
      <c r="S49" s="28">
        <v>0</v>
      </c>
      <c r="T49" s="26">
        <v>0</v>
      </c>
      <c r="U49" s="26">
        <v>0</v>
      </c>
      <c r="V49" s="26">
        <v>0</v>
      </c>
      <c r="W49" s="26">
        <v>0</v>
      </c>
      <c r="X49" s="26">
        <v>0</v>
      </c>
      <c r="Y49" s="26">
        <v>0</v>
      </c>
    </row>
    <row r="50" spans="1:25">
      <c r="A50" s="58"/>
      <c r="B50" s="58"/>
      <c r="C50" s="46" t="s">
        <v>45</v>
      </c>
      <c r="D50" s="46"/>
      <c r="E50" s="48" t="s">
        <v>224</v>
      </c>
      <c r="F50" s="47"/>
      <c r="G50" s="26">
        <v>4</v>
      </c>
      <c r="H50" s="26">
        <v>4</v>
      </c>
      <c r="I50" s="26">
        <v>4</v>
      </c>
      <c r="J50" s="26">
        <v>4</v>
      </c>
      <c r="K50" s="26">
        <v>4</v>
      </c>
      <c r="L50" s="26">
        <v>4</v>
      </c>
      <c r="M50" s="26">
        <v>4</v>
      </c>
      <c r="N50" s="26">
        <v>4</v>
      </c>
      <c r="O50" s="26">
        <v>4</v>
      </c>
      <c r="P50" s="26">
        <v>4</v>
      </c>
      <c r="Q50" s="26">
        <v>4</v>
      </c>
      <c r="R50" s="26">
        <v>4</v>
      </c>
      <c r="S50" s="28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</row>
    <row r="51" spans="1:25">
      <c r="A51" s="58"/>
      <c r="B51" s="58"/>
      <c r="C51" s="46" t="s">
        <v>46</v>
      </c>
      <c r="D51" s="46"/>
      <c r="E51" s="48" t="s">
        <v>223</v>
      </c>
      <c r="F51" s="47"/>
      <c r="G51" s="26">
        <v>4</v>
      </c>
      <c r="H51" s="26">
        <v>4</v>
      </c>
      <c r="I51" s="26">
        <v>4</v>
      </c>
      <c r="J51" s="26">
        <v>4</v>
      </c>
      <c r="K51" s="26">
        <v>4</v>
      </c>
      <c r="L51" s="26">
        <v>4</v>
      </c>
      <c r="M51" s="26">
        <v>4</v>
      </c>
      <c r="N51" s="26">
        <v>4</v>
      </c>
      <c r="O51" s="26">
        <v>4</v>
      </c>
      <c r="P51" s="26">
        <v>4</v>
      </c>
      <c r="Q51" s="26">
        <v>4</v>
      </c>
      <c r="R51" s="26">
        <v>4</v>
      </c>
      <c r="S51" s="28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</row>
    <row r="52" spans="1:25">
      <c r="A52" s="58"/>
      <c r="B52" s="58"/>
      <c r="C52" s="46" t="s">
        <v>47</v>
      </c>
      <c r="D52" s="46"/>
      <c r="E52" s="48" t="s">
        <v>224</v>
      </c>
      <c r="F52" s="47"/>
      <c r="G52" s="26">
        <v>4</v>
      </c>
      <c r="H52" s="26">
        <v>4</v>
      </c>
      <c r="I52" s="26">
        <v>4</v>
      </c>
      <c r="J52" s="26">
        <v>4</v>
      </c>
      <c r="K52" s="26">
        <v>4</v>
      </c>
      <c r="L52" s="26">
        <v>4</v>
      </c>
      <c r="M52" s="26">
        <v>4</v>
      </c>
      <c r="N52" s="26">
        <v>4</v>
      </c>
      <c r="O52" s="26">
        <v>4</v>
      </c>
      <c r="P52" s="26">
        <v>4</v>
      </c>
      <c r="Q52" s="26">
        <v>4</v>
      </c>
      <c r="R52" s="26">
        <v>4</v>
      </c>
      <c r="S52" s="28">
        <v>0</v>
      </c>
      <c r="T52" s="26">
        <v>0</v>
      </c>
      <c r="U52" s="26">
        <v>0</v>
      </c>
      <c r="V52" s="26">
        <v>0</v>
      </c>
      <c r="W52" s="26">
        <v>0</v>
      </c>
      <c r="X52" s="26">
        <v>0</v>
      </c>
      <c r="Y52" s="26">
        <v>0</v>
      </c>
    </row>
    <row r="53" spans="1:25">
      <c r="A53" s="58"/>
      <c r="B53" s="58"/>
      <c r="C53" s="46" t="s">
        <v>48</v>
      </c>
      <c r="D53" s="46"/>
      <c r="E53" s="48" t="s">
        <v>223</v>
      </c>
      <c r="F53" s="47"/>
      <c r="G53" s="26">
        <v>2</v>
      </c>
      <c r="H53" s="26">
        <v>2</v>
      </c>
      <c r="I53" s="26">
        <v>2</v>
      </c>
      <c r="J53" s="26">
        <v>2</v>
      </c>
      <c r="K53" s="26">
        <v>2</v>
      </c>
      <c r="L53" s="26">
        <v>2</v>
      </c>
      <c r="M53" s="26">
        <v>2</v>
      </c>
      <c r="N53" s="26">
        <v>2</v>
      </c>
      <c r="O53" s="26">
        <v>2</v>
      </c>
      <c r="P53" s="26">
        <v>2</v>
      </c>
      <c r="Q53" s="26">
        <v>2</v>
      </c>
      <c r="R53" s="26">
        <v>2</v>
      </c>
      <c r="S53" s="26">
        <v>2</v>
      </c>
      <c r="T53" s="28">
        <v>0</v>
      </c>
      <c r="U53" s="26">
        <v>0</v>
      </c>
      <c r="V53" s="26">
        <v>0</v>
      </c>
      <c r="W53" s="26">
        <v>0</v>
      </c>
      <c r="X53" s="26">
        <v>0</v>
      </c>
      <c r="Y53" s="26">
        <v>0</v>
      </c>
    </row>
    <row r="54" spans="1:25">
      <c r="A54" s="58"/>
      <c r="B54" s="58"/>
      <c r="C54" s="46" t="s">
        <v>49</v>
      </c>
      <c r="D54" s="46"/>
      <c r="E54" s="48" t="s">
        <v>224</v>
      </c>
      <c r="F54" s="47"/>
      <c r="G54" s="26">
        <v>2</v>
      </c>
      <c r="H54" s="26">
        <v>2</v>
      </c>
      <c r="I54" s="26">
        <v>2</v>
      </c>
      <c r="J54" s="26">
        <v>2</v>
      </c>
      <c r="K54" s="26">
        <v>2</v>
      </c>
      <c r="L54" s="26">
        <v>2</v>
      </c>
      <c r="M54" s="26">
        <v>2</v>
      </c>
      <c r="N54" s="26">
        <v>2</v>
      </c>
      <c r="O54" s="26">
        <v>2</v>
      </c>
      <c r="P54" s="26">
        <v>2</v>
      </c>
      <c r="Q54" s="26">
        <v>2</v>
      </c>
      <c r="R54" s="26">
        <v>2</v>
      </c>
      <c r="S54" s="26">
        <v>2</v>
      </c>
      <c r="T54" s="28">
        <v>0</v>
      </c>
      <c r="U54" s="26">
        <v>0</v>
      </c>
      <c r="V54" s="26">
        <v>0</v>
      </c>
      <c r="W54" s="26">
        <v>0</v>
      </c>
      <c r="X54" s="26">
        <v>0</v>
      </c>
      <c r="Y54" s="26">
        <v>0</v>
      </c>
    </row>
    <row r="55" spans="1:25">
      <c r="A55" s="58"/>
      <c r="B55" s="58"/>
      <c r="C55" s="46" t="s">
        <v>50</v>
      </c>
      <c r="D55" s="46"/>
      <c r="E55" s="48" t="s">
        <v>224</v>
      </c>
      <c r="F55" s="47"/>
      <c r="G55" s="26">
        <v>2</v>
      </c>
      <c r="H55" s="26">
        <v>2</v>
      </c>
      <c r="I55" s="26">
        <v>2</v>
      </c>
      <c r="J55" s="26">
        <v>2</v>
      </c>
      <c r="K55" s="26">
        <v>2</v>
      </c>
      <c r="L55" s="26">
        <v>2</v>
      </c>
      <c r="M55" s="26">
        <v>2</v>
      </c>
      <c r="N55" s="26">
        <v>2</v>
      </c>
      <c r="O55" s="26">
        <v>2</v>
      </c>
      <c r="P55" s="26">
        <v>2</v>
      </c>
      <c r="Q55" s="26">
        <v>2</v>
      </c>
      <c r="R55" s="26">
        <v>2</v>
      </c>
      <c r="S55" s="26">
        <v>2</v>
      </c>
      <c r="T55" s="28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</row>
    <row r="56" spans="1:25">
      <c r="A56" s="58"/>
      <c r="B56" s="58"/>
      <c r="C56" s="46" t="s">
        <v>51</v>
      </c>
      <c r="D56" s="46"/>
      <c r="E56" s="48" t="s">
        <v>224</v>
      </c>
      <c r="F56" s="47"/>
      <c r="G56" s="26">
        <v>2</v>
      </c>
      <c r="H56" s="26">
        <v>2</v>
      </c>
      <c r="I56" s="26">
        <v>2</v>
      </c>
      <c r="J56" s="26">
        <v>2</v>
      </c>
      <c r="K56" s="26">
        <v>2</v>
      </c>
      <c r="L56" s="26">
        <v>2</v>
      </c>
      <c r="M56" s="26">
        <v>2</v>
      </c>
      <c r="N56" s="26">
        <v>2</v>
      </c>
      <c r="O56" s="26">
        <v>2</v>
      </c>
      <c r="P56" s="26">
        <v>2</v>
      </c>
      <c r="Q56" s="26">
        <v>2</v>
      </c>
      <c r="R56" s="26">
        <v>2</v>
      </c>
      <c r="S56" s="26">
        <v>2</v>
      </c>
      <c r="T56" s="28">
        <v>0</v>
      </c>
      <c r="U56" s="26">
        <v>0</v>
      </c>
      <c r="V56" s="26">
        <v>0</v>
      </c>
      <c r="W56" s="26">
        <v>0</v>
      </c>
      <c r="X56" s="26">
        <v>0</v>
      </c>
      <c r="Y56" s="26">
        <v>0</v>
      </c>
    </row>
    <row r="57" spans="1:25">
      <c r="A57" s="58"/>
      <c r="B57" s="58"/>
      <c r="C57" s="46" t="s">
        <v>52</v>
      </c>
      <c r="D57" s="46"/>
      <c r="E57" s="53" t="s">
        <v>225</v>
      </c>
      <c r="F57" s="54"/>
      <c r="G57" s="26">
        <v>4</v>
      </c>
      <c r="H57" s="26">
        <v>10</v>
      </c>
      <c r="I57" s="26">
        <v>10</v>
      </c>
      <c r="J57" s="26">
        <v>10</v>
      </c>
      <c r="K57" s="26">
        <v>10</v>
      </c>
      <c r="L57" s="26">
        <v>10</v>
      </c>
      <c r="M57" s="26">
        <v>10</v>
      </c>
      <c r="N57" s="26">
        <v>10</v>
      </c>
      <c r="O57" s="26">
        <v>10</v>
      </c>
      <c r="P57" s="26">
        <v>10</v>
      </c>
      <c r="Q57" s="26">
        <v>10</v>
      </c>
      <c r="R57" s="26">
        <v>10</v>
      </c>
      <c r="S57" s="26">
        <v>4</v>
      </c>
      <c r="T57" s="28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</row>
    <row r="58" spans="1:25">
      <c r="A58" s="58"/>
      <c r="B58" s="58"/>
      <c r="C58" s="47"/>
      <c r="D58" s="47"/>
      <c r="E58" s="47"/>
      <c r="F58" s="47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9">
        <v>6</v>
      </c>
      <c r="U58" s="26"/>
      <c r="V58" s="26"/>
      <c r="W58" s="26"/>
      <c r="X58" s="26"/>
      <c r="Y58" s="26"/>
    </row>
    <row r="59" spans="1:25">
      <c r="A59" s="58"/>
      <c r="B59" s="58" t="s">
        <v>53</v>
      </c>
      <c r="C59" s="46" t="s">
        <v>54</v>
      </c>
      <c r="D59" s="46"/>
      <c r="E59" s="48" t="s">
        <v>216</v>
      </c>
      <c r="F59" s="47"/>
      <c r="G59" s="26">
        <v>1</v>
      </c>
      <c r="H59" s="26">
        <v>1</v>
      </c>
      <c r="I59" s="26">
        <v>1</v>
      </c>
      <c r="J59" s="26">
        <v>1</v>
      </c>
      <c r="K59" s="26">
        <v>1</v>
      </c>
      <c r="L59" s="26">
        <v>1</v>
      </c>
      <c r="M59" s="26">
        <v>1</v>
      </c>
      <c r="N59" s="26">
        <v>1</v>
      </c>
      <c r="O59" s="26">
        <v>1</v>
      </c>
      <c r="P59" s="26">
        <v>1</v>
      </c>
      <c r="Q59" s="26">
        <v>1</v>
      </c>
      <c r="R59" s="26">
        <v>1</v>
      </c>
      <c r="S59" s="26">
        <v>1</v>
      </c>
      <c r="T59" s="26">
        <v>1</v>
      </c>
      <c r="U59" s="28">
        <v>0</v>
      </c>
      <c r="V59" s="26">
        <v>0</v>
      </c>
      <c r="W59" s="26">
        <v>0</v>
      </c>
      <c r="X59" s="26">
        <v>0</v>
      </c>
      <c r="Y59" s="26">
        <v>0</v>
      </c>
    </row>
    <row r="60" spans="1:25">
      <c r="A60" s="58"/>
      <c r="B60" s="58"/>
      <c r="C60" s="46" t="s">
        <v>55</v>
      </c>
      <c r="D60" s="46"/>
      <c r="E60" s="51" t="s">
        <v>220</v>
      </c>
      <c r="F60" s="52"/>
      <c r="G60" s="26">
        <v>1</v>
      </c>
      <c r="H60" s="26">
        <v>1</v>
      </c>
      <c r="I60" s="26">
        <v>1</v>
      </c>
      <c r="J60" s="26">
        <v>1</v>
      </c>
      <c r="K60" s="26">
        <v>1</v>
      </c>
      <c r="L60" s="26">
        <v>1</v>
      </c>
      <c r="M60" s="26">
        <v>1</v>
      </c>
      <c r="N60" s="26">
        <v>1</v>
      </c>
      <c r="O60" s="26">
        <v>1</v>
      </c>
      <c r="P60" s="26">
        <v>1</v>
      </c>
      <c r="Q60" s="26">
        <v>1</v>
      </c>
      <c r="R60" s="26">
        <v>1</v>
      </c>
      <c r="S60" s="26">
        <v>1</v>
      </c>
      <c r="T60" s="26">
        <v>1</v>
      </c>
      <c r="U60" s="28">
        <v>0</v>
      </c>
      <c r="V60" s="26">
        <v>0</v>
      </c>
      <c r="W60" s="26">
        <v>0</v>
      </c>
      <c r="X60" s="26">
        <v>0</v>
      </c>
      <c r="Y60" s="26">
        <v>0</v>
      </c>
    </row>
    <row r="61" spans="1:25">
      <c r="A61" s="58"/>
      <c r="B61" s="58"/>
      <c r="C61" s="46" t="s">
        <v>56</v>
      </c>
      <c r="D61" s="46"/>
      <c r="E61" s="48" t="s">
        <v>216</v>
      </c>
      <c r="F61" s="47"/>
      <c r="G61" s="26">
        <v>1</v>
      </c>
      <c r="H61" s="26">
        <v>1</v>
      </c>
      <c r="I61" s="26">
        <v>1</v>
      </c>
      <c r="J61" s="26">
        <v>1</v>
      </c>
      <c r="K61" s="26">
        <v>1</v>
      </c>
      <c r="L61" s="26">
        <v>1</v>
      </c>
      <c r="M61" s="26">
        <v>1</v>
      </c>
      <c r="N61" s="26">
        <v>1</v>
      </c>
      <c r="O61" s="26">
        <v>1</v>
      </c>
      <c r="P61" s="26">
        <v>1</v>
      </c>
      <c r="Q61" s="26">
        <v>1</v>
      </c>
      <c r="R61" s="26">
        <v>1</v>
      </c>
      <c r="S61" s="26">
        <v>1</v>
      </c>
      <c r="T61" s="26">
        <v>1</v>
      </c>
      <c r="U61" s="28">
        <v>0</v>
      </c>
      <c r="V61" s="26">
        <v>0</v>
      </c>
      <c r="W61" s="26">
        <v>0</v>
      </c>
      <c r="X61" s="26">
        <v>0</v>
      </c>
      <c r="Y61" s="26">
        <v>0</v>
      </c>
    </row>
    <row r="62" spans="1:25">
      <c r="A62" s="58"/>
      <c r="B62" s="58"/>
      <c r="C62" s="46" t="s">
        <v>57</v>
      </c>
      <c r="D62" s="46"/>
      <c r="E62" s="48" t="s">
        <v>216</v>
      </c>
      <c r="F62" s="47"/>
      <c r="G62" s="26">
        <v>2</v>
      </c>
      <c r="H62" s="26">
        <v>2</v>
      </c>
      <c r="I62" s="26">
        <v>2</v>
      </c>
      <c r="J62" s="26">
        <v>2</v>
      </c>
      <c r="K62" s="26">
        <v>2</v>
      </c>
      <c r="L62" s="26">
        <v>2</v>
      </c>
      <c r="M62" s="26">
        <v>2</v>
      </c>
      <c r="N62" s="26">
        <v>2</v>
      </c>
      <c r="O62" s="26">
        <v>2</v>
      </c>
      <c r="P62" s="26">
        <v>2</v>
      </c>
      <c r="Q62" s="26">
        <v>2</v>
      </c>
      <c r="R62" s="26">
        <v>2</v>
      </c>
      <c r="S62" s="26">
        <v>2</v>
      </c>
      <c r="T62" s="26">
        <v>2</v>
      </c>
      <c r="U62" s="28">
        <v>0</v>
      </c>
      <c r="V62" s="26">
        <v>0</v>
      </c>
      <c r="W62" s="26">
        <v>0</v>
      </c>
      <c r="X62" s="26">
        <v>0</v>
      </c>
      <c r="Y62" s="26">
        <v>0</v>
      </c>
    </row>
    <row r="63" spans="1:25">
      <c r="A63" s="58"/>
      <c r="B63" s="58"/>
      <c r="C63" s="46" t="s">
        <v>58</v>
      </c>
      <c r="D63" s="46"/>
      <c r="E63" s="51" t="s">
        <v>220</v>
      </c>
      <c r="F63" s="52"/>
      <c r="G63" s="26">
        <v>1</v>
      </c>
      <c r="H63" s="26">
        <v>1</v>
      </c>
      <c r="I63" s="26">
        <v>1</v>
      </c>
      <c r="J63" s="26">
        <v>1</v>
      </c>
      <c r="K63" s="26">
        <v>1</v>
      </c>
      <c r="L63" s="26">
        <v>1</v>
      </c>
      <c r="M63" s="26">
        <v>1</v>
      </c>
      <c r="N63" s="26">
        <v>1</v>
      </c>
      <c r="O63" s="26">
        <v>1</v>
      </c>
      <c r="P63" s="26">
        <v>1</v>
      </c>
      <c r="Q63" s="26">
        <v>1</v>
      </c>
      <c r="R63" s="26">
        <v>1</v>
      </c>
      <c r="S63" s="26">
        <v>1</v>
      </c>
      <c r="T63" s="26">
        <v>1</v>
      </c>
      <c r="U63" s="28">
        <v>0</v>
      </c>
      <c r="V63" s="26">
        <v>0</v>
      </c>
      <c r="W63" s="26">
        <v>0</v>
      </c>
      <c r="X63" s="26">
        <v>0</v>
      </c>
      <c r="Y63" s="26">
        <v>0</v>
      </c>
    </row>
    <row r="64" spans="1:25">
      <c r="A64" s="58"/>
      <c r="B64" s="58"/>
      <c r="C64" s="49" t="s">
        <v>59</v>
      </c>
      <c r="D64" s="50"/>
      <c r="E64" s="48" t="s">
        <v>216</v>
      </c>
      <c r="F64" s="47"/>
      <c r="G64" s="26">
        <v>1</v>
      </c>
      <c r="H64" s="26">
        <v>1</v>
      </c>
      <c r="I64" s="26">
        <v>1</v>
      </c>
      <c r="J64" s="26">
        <v>1</v>
      </c>
      <c r="K64" s="26">
        <v>1</v>
      </c>
      <c r="L64" s="26">
        <v>1</v>
      </c>
      <c r="M64" s="26">
        <v>1</v>
      </c>
      <c r="N64" s="26">
        <v>1</v>
      </c>
      <c r="O64" s="26">
        <v>1</v>
      </c>
      <c r="P64" s="26">
        <v>1</v>
      </c>
      <c r="Q64" s="26">
        <v>1</v>
      </c>
      <c r="R64" s="26">
        <v>1</v>
      </c>
      <c r="S64" s="26">
        <v>1</v>
      </c>
      <c r="T64" s="26">
        <v>1</v>
      </c>
      <c r="U64" s="28">
        <v>0</v>
      </c>
      <c r="V64" s="26">
        <v>0</v>
      </c>
      <c r="W64" s="26">
        <v>0</v>
      </c>
      <c r="X64" s="26">
        <v>0</v>
      </c>
      <c r="Y64" s="26">
        <v>0</v>
      </c>
    </row>
    <row r="65" spans="1:26">
      <c r="A65" s="58"/>
      <c r="B65" s="58"/>
      <c r="C65" s="49" t="s">
        <v>60</v>
      </c>
      <c r="D65" s="50"/>
      <c r="E65" s="48" t="s">
        <v>216</v>
      </c>
      <c r="F65" s="47"/>
      <c r="G65" s="26">
        <v>1</v>
      </c>
      <c r="H65" s="26">
        <v>1</v>
      </c>
      <c r="I65" s="26">
        <v>1</v>
      </c>
      <c r="J65" s="26">
        <v>1</v>
      </c>
      <c r="K65" s="26">
        <v>1</v>
      </c>
      <c r="L65" s="26">
        <v>1</v>
      </c>
      <c r="M65" s="26">
        <v>1</v>
      </c>
      <c r="N65" s="26">
        <v>1</v>
      </c>
      <c r="O65" s="26">
        <v>1</v>
      </c>
      <c r="P65" s="26">
        <v>1</v>
      </c>
      <c r="Q65" s="26">
        <v>1</v>
      </c>
      <c r="R65" s="26">
        <v>1</v>
      </c>
      <c r="S65" s="26">
        <v>1</v>
      </c>
      <c r="T65" s="26">
        <v>1</v>
      </c>
      <c r="U65" s="28">
        <v>0</v>
      </c>
      <c r="V65" s="26">
        <v>0</v>
      </c>
      <c r="W65" s="26">
        <v>0</v>
      </c>
      <c r="X65" s="26">
        <v>0</v>
      </c>
      <c r="Y65" s="26">
        <v>0</v>
      </c>
    </row>
    <row r="66" spans="1:26">
      <c r="A66" s="58"/>
      <c r="B66" s="58"/>
      <c r="C66" s="46" t="s">
        <v>61</v>
      </c>
      <c r="D66" s="46"/>
      <c r="E66" s="48" t="s">
        <v>216</v>
      </c>
      <c r="F66" s="47"/>
      <c r="G66" s="26">
        <v>1</v>
      </c>
      <c r="H66" s="26">
        <v>1</v>
      </c>
      <c r="I66" s="26">
        <v>1</v>
      </c>
      <c r="J66" s="26">
        <v>1</v>
      </c>
      <c r="K66" s="26">
        <v>1</v>
      </c>
      <c r="L66" s="26">
        <v>1</v>
      </c>
      <c r="M66" s="26">
        <v>1</v>
      </c>
      <c r="N66" s="26">
        <v>1</v>
      </c>
      <c r="O66" s="26">
        <v>1</v>
      </c>
      <c r="P66" s="26">
        <v>1</v>
      </c>
      <c r="Q66" s="26">
        <v>1</v>
      </c>
      <c r="R66" s="26">
        <v>1</v>
      </c>
      <c r="S66" s="26">
        <v>1</v>
      </c>
      <c r="T66" s="26">
        <v>1</v>
      </c>
      <c r="U66" s="28">
        <v>0</v>
      </c>
      <c r="V66" s="26">
        <v>0</v>
      </c>
      <c r="W66" s="26">
        <v>0</v>
      </c>
      <c r="X66" s="26">
        <v>0</v>
      </c>
      <c r="Y66" s="26">
        <v>0</v>
      </c>
    </row>
    <row r="67" spans="1:26">
      <c r="A67" s="58"/>
      <c r="B67" s="58" t="s">
        <v>62</v>
      </c>
      <c r="C67" s="46" t="s">
        <v>63</v>
      </c>
      <c r="D67" s="46"/>
      <c r="E67" s="48" t="s">
        <v>224</v>
      </c>
      <c r="F67" s="47"/>
      <c r="G67" s="26">
        <v>1</v>
      </c>
      <c r="H67" s="26">
        <v>1</v>
      </c>
      <c r="I67" s="26">
        <v>1</v>
      </c>
      <c r="J67" s="26">
        <v>1</v>
      </c>
      <c r="K67" s="26">
        <v>1</v>
      </c>
      <c r="L67" s="26">
        <v>1</v>
      </c>
      <c r="M67" s="26">
        <v>1</v>
      </c>
      <c r="N67" s="26">
        <v>1</v>
      </c>
      <c r="O67" s="26">
        <v>1</v>
      </c>
      <c r="P67" s="26">
        <v>1</v>
      </c>
      <c r="Q67" s="26">
        <v>1</v>
      </c>
      <c r="R67" s="26">
        <v>1</v>
      </c>
      <c r="S67" s="26">
        <v>1</v>
      </c>
      <c r="T67" s="26">
        <v>1</v>
      </c>
      <c r="U67" s="26">
        <v>1</v>
      </c>
      <c r="V67" s="28">
        <v>0</v>
      </c>
      <c r="W67" s="26">
        <v>0</v>
      </c>
      <c r="X67" s="26">
        <v>0</v>
      </c>
      <c r="Y67" s="26">
        <v>0</v>
      </c>
    </row>
    <row r="68" spans="1:26">
      <c r="A68" s="58"/>
      <c r="B68" s="58"/>
      <c r="C68" s="46" t="s">
        <v>64</v>
      </c>
      <c r="D68" s="46"/>
      <c r="E68" s="48" t="s">
        <v>224</v>
      </c>
      <c r="F68" s="47"/>
      <c r="G68" s="26">
        <v>1</v>
      </c>
      <c r="H68" s="26">
        <v>1</v>
      </c>
      <c r="I68" s="26">
        <v>1</v>
      </c>
      <c r="J68" s="26">
        <v>1</v>
      </c>
      <c r="K68" s="26">
        <v>1</v>
      </c>
      <c r="L68" s="26">
        <v>1</v>
      </c>
      <c r="M68" s="26">
        <v>1</v>
      </c>
      <c r="N68" s="26">
        <v>1</v>
      </c>
      <c r="O68" s="26">
        <v>1</v>
      </c>
      <c r="P68" s="26">
        <v>1</v>
      </c>
      <c r="Q68" s="26">
        <v>1</v>
      </c>
      <c r="R68" s="26">
        <v>1</v>
      </c>
      <c r="S68" s="26">
        <v>1</v>
      </c>
      <c r="T68" s="26">
        <v>1</v>
      </c>
      <c r="U68" s="26">
        <v>1</v>
      </c>
      <c r="V68" s="28">
        <v>0</v>
      </c>
      <c r="W68" s="26">
        <v>0</v>
      </c>
      <c r="X68" s="26">
        <v>0</v>
      </c>
      <c r="Y68" s="26">
        <v>0</v>
      </c>
    </row>
    <row r="69" spans="1:26">
      <c r="A69" s="58"/>
      <c r="B69" s="58"/>
      <c r="C69" s="46" t="s">
        <v>65</v>
      </c>
      <c r="D69" s="46"/>
      <c r="E69" s="48" t="s">
        <v>224</v>
      </c>
      <c r="F69" s="47"/>
      <c r="G69" s="26">
        <v>1</v>
      </c>
      <c r="H69" s="26">
        <v>1</v>
      </c>
      <c r="I69" s="26">
        <v>1</v>
      </c>
      <c r="J69" s="26">
        <v>1</v>
      </c>
      <c r="K69" s="26">
        <v>1</v>
      </c>
      <c r="L69" s="26">
        <v>1</v>
      </c>
      <c r="M69" s="26">
        <v>1</v>
      </c>
      <c r="N69" s="26">
        <v>1</v>
      </c>
      <c r="O69" s="26">
        <v>1</v>
      </c>
      <c r="P69" s="26">
        <v>1</v>
      </c>
      <c r="Q69" s="26">
        <v>1</v>
      </c>
      <c r="R69" s="26">
        <v>1</v>
      </c>
      <c r="S69" s="26">
        <v>1</v>
      </c>
      <c r="T69" s="26">
        <v>1</v>
      </c>
      <c r="U69" s="26">
        <v>1</v>
      </c>
      <c r="V69" s="28">
        <v>0</v>
      </c>
      <c r="W69" s="26">
        <v>0</v>
      </c>
      <c r="X69" s="26">
        <v>0</v>
      </c>
      <c r="Y69" s="26">
        <v>0</v>
      </c>
    </row>
    <row r="70" spans="1:26">
      <c r="A70" s="58"/>
      <c r="B70" s="58"/>
      <c r="C70" s="46" t="s">
        <v>66</v>
      </c>
      <c r="D70" s="46"/>
      <c r="E70" s="48" t="s">
        <v>226</v>
      </c>
      <c r="F70" s="47"/>
      <c r="G70" s="26">
        <v>2</v>
      </c>
      <c r="H70" s="26">
        <v>2</v>
      </c>
      <c r="I70" s="26">
        <v>2</v>
      </c>
      <c r="J70" s="26">
        <v>2</v>
      </c>
      <c r="K70" s="26">
        <v>2</v>
      </c>
      <c r="L70" s="26">
        <v>2</v>
      </c>
      <c r="M70" s="26">
        <v>2</v>
      </c>
      <c r="N70" s="26">
        <v>2</v>
      </c>
      <c r="O70" s="26">
        <v>2</v>
      </c>
      <c r="P70" s="26">
        <v>2</v>
      </c>
      <c r="Q70" s="26">
        <v>2</v>
      </c>
      <c r="R70" s="26">
        <v>2</v>
      </c>
      <c r="S70" s="26">
        <v>2</v>
      </c>
      <c r="T70" s="26">
        <v>2</v>
      </c>
      <c r="U70" s="26">
        <v>2</v>
      </c>
      <c r="V70" s="28">
        <v>0</v>
      </c>
      <c r="W70" s="26">
        <v>0</v>
      </c>
      <c r="X70" s="26">
        <v>0</v>
      </c>
      <c r="Y70" s="26">
        <v>0</v>
      </c>
    </row>
    <row r="71" spans="1:26">
      <c r="A71" s="58"/>
      <c r="B71" s="58"/>
      <c r="C71" s="55" t="s">
        <v>67</v>
      </c>
      <c r="D71" s="56"/>
      <c r="E71" s="48" t="s">
        <v>226</v>
      </c>
      <c r="F71" s="47"/>
      <c r="G71" s="26">
        <v>1</v>
      </c>
      <c r="H71" s="26">
        <v>1</v>
      </c>
      <c r="I71" s="26">
        <v>1</v>
      </c>
      <c r="J71" s="26">
        <v>1</v>
      </c>
      <c r="K71" s="26">
        <v>1</v>
      </c>
      <c r="L71" s="26">
        <v>1</v>
      </c>
      <c r="M71" s="26">
        <v>1</v>
      </c>
      <c r="N71" s="26">
        <v>1</v>
      </c>
      <c r="O71" s="26">
        <v>1</v>
      </c>
      <c r="P71" s="26">
        <v>1</v>
      </c>
      <c r="Q71" s="26">
        <v>1</v>
      </c>
      <c r="R71" s="26">
        <v>1</v>
      </c>
      <c r="S71" s="26">
        <v>1</v>
      </c>
      <c r="T71" s="26">
        <v>1</v>
      </c>
      <c r="U71" s="26">
        <v>1</v>
      </c>
      <c r="V71" s="28">
        <v>0</v>
      </c>
      <c r="W71" s="26">
        <v>0</v>
      </c>
      <c r="X71" s="26">
        <v>0</v>
      </c>
      <c r="Y71" s="26">
        <v>0</v>
      </c>
    </row>
    <row r="72" spans="1:26">
      <c r="A72" s="58"/>
      <c r="B72" s="58"/>
      <c r="C72" s="55" t="s">
        <v>68</v>
      </c>
      <c r="D72" s="56"/>
      <c r="E72" s="48" t="s">
        <v>224</v>
      </c>
      <c r="F72" s="47"/>
      <c r="G72" s="26">
        <v>1</v>
      </c>
      <c r="H72" s="26">
        <v>1</v>
      </c>
      <c r="I72" s="26">
        <v>1</v>
      </c>
      <c r="J72" s="26">
        <v>1</v>
      </c>
      <c r="K72" s="26">
        <v>1</v>
      </c>
      <c r="L72" s="26">
        <v>1</v>
      </c>
      <c r="M72" s="26">
        <v>1</v>
      </c>
      <c r="N72" s="26">
        <v>1</v>
      </c>
      <c r="O72" s="26">
        <v>1</v>
      </c>
      <c r="P72" s="26">
        <v>1</v>
      </c>
      <c r="Q72" s="26">
        <v>1</v>
      </c>
      <c r="R72" s="26">
        <v>1</v>
      </c>
      <c r="S72" s="26">
        <v>1</v>
      </c>
      <c r="T72" s="26">
        <v>1</v>
      </c>
      <c r="U72" s="26">
        <v>1</v>
      </c>
      <c r="V72" s="28">
        <v>0</v>
      </c>
      <c r="W72" s="26">
        <v>0</v>
      </c>
      <c r="X72" s="26">
        <v>0</v>
      </c>
      <c r="Y72" s="26">
        <v>0</v>
      </c>
    </row>
    <row r="73" spans="1:26">
      <c r="A73" s="58"/>
      <c r="B73" s="58"/>
      <c r="C73" s="46" t="s">
        <v>69</v>
      </c>
      <c r="D73" s="46"/>
      <c r="E73" s="48" t="s">
        <v>224</v>
      </c>
      <c r="F73" s="47"/>
      <c r="G73" s="26">
        <v>1</v>
      </c>
      <c r="H73" s="26">
        <v>1</v>
      </c>
      <c r="I73" s="26">
        <v>1</v>
      </c>
      <c r="J73" s="26">
        <v>1</v>
      </c>
      <c r="K73" s="26">
        <v>1</v>
      </c>
      <c r="L73" s="26">
        <v>1</v>
      </c>
      <c r="M73" s="26">
        <v>1</v>
      </c>
      <c r="N73" s="26">
        <v>1</v>
      </c>
      <c r="O73" s="26">
        <v>1</v>
      </c>
      <c r="P73" s="26">
        <v>1</v>
      </c>
      <c r="Q73" s="26">
        <v>1</v>
      </c>
      <c r="R73" s="26">
        <v>1</v>
      </c>
      <c r="S73" s="26">
        <v>1</v>
      </c>
      <c r="T73" s="26">
        <v>1</v>
      </c>
      <c r="U73" s="26">
        <v>1</v>
      </c>
      <c r="V73" s="28">
        <v>0</v>
      </c>
      <c r="W73" s="26">
        <v>0</v>
      </c>
      <c r="X73" s="26">
        <v>0</v>
      </c>
      <c r="Y73" s="26">
        <v>0</v>
      </c>
    </row>
    <row r="74" spans="1:26">
      <c r="A74" s="58"/>
      <c r="B74" s="58"/>
      <c r="C74" s="46" t="s">
        <v>70</v>
      </c>
      <c r="D74" s="46"/>
      <c r="E74" s="48" t="s">
        <v>226</v>
      </c>
      <c r="F74" s="47"/>
      <c r="G74" s="26">
        <v>1</v>
      </c>
      <c r="H74" s="26">
        <v>1</v>
      </c>
      <c r="I74" s="26">
        <v>1</v>
      </c>
      <c r="J74" s="26">
        <v>1</v>
      </c>
      <c r="K74" s="26">
        <v>1</v>
      </c>
      <c r="L74" s="26">
        <v>1</v>
      </c>
      <c r="M74" s="26">
        <v>1</v>
      </c>
      <c r="N74" s="26">
        <v>1</v>
      </c>
      <c r="O74" s="26">
        <v>1</v>
      </c>
      <c r="P74" s="26">
        <v>1</v>
      </c>
      <c r="Q74" s="26">
        <v>1</v>
      </c>
      <c r="R74" s="26">
        <v>1</v>
      </c>
      <c r="S74" s="26">
        <v>1</v>
      </c>
      <c r="T74" s="26">
        <v>1</v>
      </c>
      <c r="U74" s="26">
        <v>1</v>
      </c>
      <c r="V74" s="28">
        <v>0</v>
      </c>
      <c r="W74" s="26">
        <v>0</v>
      </c>
      <c r="X74" s="26">
        <v>0</v>
      </c>
      <c r="Y74" s="26">
        <v>0</v>
      </c>
    </row>
    <row r="75" spans="1:26">
      <c r="A75" s="58"/>
      <c r="B75" s="58" t="s">
        <v>71</v>
      </c>
      <c r="C75" s="46" t="s">
        <v>72</v>
      </c>
      <c r="D75" s="46"/>
      <c r="E75" s="48" t="s">
        <v>216</v>
      </c>
      <c r="F75" s="47"/>
      <c r="G75" s="26">
        <v>1</v>
      </c>
      <c r="H75" s="26">
        <v>1</v>
      </c>
      <c r="I75" s="26">
        <v>1</v>
      </c>
      <c r="J75" s="26">
        <v>1</v>
      </c>
      <c r="K75" s="26">
        <v>1</v>
      </c>
      <c r="L75" s="26">
        <v>1</v>
      </c>
      <c r="M75" s="26">
        <v>1</v>
      </c>
      <c r="N75" s="26">
        <v>1</v>
      </c>
      <c r="O75" s="26">
        <v>1</v>
      </c>
      <c r="P75" s="26">
        <v>1</v>
      </c>
      <c r="Q75" s="26">
        <v>1</v>
      </c>
      <c r="R75" s="26">
        <v>1</v>
      </c>
      <c r="S75" s="26">
        <v>1</v>
      </c>
      <c r="T75" s="26">
        <v>1</v>
      </c>
      <c r="U75" s="26">
        <v>1</v>
      </c>
      <c r="V75" s="26">
        <v>1</v>
      </c>
      <c r="W75" s="28">
        <v>0</v>
      </c>
      <c r="X75" s="26">
        <v>0</v>
      </c>
      <c r="Y75" s="26">
        <v>0</v>
      </c>
    </row>
    <row r="76" spans="1:26">
      <c r="A76" s="58"/>
      <c r="B76" s="58"/>
      <c r="C76" s="46" t="s">
        <v>73</v>
      </c>
      <c r="D76" s="46"/>
      <c r="E76" s="51" t="s">
        <v>220</v>
      </c>
      <c r="F76" s="52"/>
      <c r="G76" s="26">
        <v>1</v>
      </c>
      <c r="H76" s="26">
        <v>1</v>
      </c>
      <c r="I76" s="26">
        <v>1</v>
      </c>
      <c r="J76" s="26">
        <v>1</v>
      </c>
      <c r="K76" s="26">
        <v>1</v>
      </c>
      <c r="L76" s="26">
        <v>1</v>
      </c>
      <c r="M76" s="26">
        <v>1</v>
      </c>
      <c r="N76" s="26">
        <v>1</v>
      </c>
      <c r="O76" s="26">
        <v>1</v>
      </c>
      <c r="P76" s="26">
        <v>1</v>
      </c>
      <c r="Q76" s="26">
        <v>1</v>
      </c>
      <c r="R76" s="26">
        <v>1</v>
      </c>
      <c r="S76" s="26">
        <v>1</v>
      </c>
      <c r="T76" s="26">
        <v>1</v>
      </c>
      <c r="U76" s="26">
        <v>1</v>
      </c>
      <c r="V76" s="26">
        <v>1</v>
      </c>
      <c r="W76" s="28">
        <v>0</v>
      </c>
      <c r="X76" s="26">
        <v>0</v>
      </c>
      <c r="Y76" s="26">
        <v>0</v>
      </c>
      <c r="Z76" s="10">
        <v>0</v>
      </c>
    </row>
    <row r="77" spans="1:26">
      <c r="A77" s="58"/>
      <c r="B77" s="58"/>
      <c r="C77" s="46" t="s">
        <v>74</v>
      </c>
      <c r="D77" s="46"/>
      <c r="E77" s="48" t="s">
        <v>216</v>
      </c>
      <c r="F77" s="47"/>
      <c r="G77" s="26">
        <v>2</v>
      </c>
      <c r="H77" s="26">
        <v>2</v>
      </c>
      <c r="I77" s="26">
        <v>2</v>
      </c>
      <c r="J77" s="26">
        <v>2</v>
      </c>
      <c r="K77" s="26">
        <v>2</v>
      </c>
      <c r="L77" s="26">
        <v>2</v>
      </c>
      <c r="M77" s="26">
        <v>2</v>
      </c>
      <c r="N77" s="26">
        <v>2</v>
      </c>
      <c r="O77" s="26">
        <v>2</v>
      </c>
      <c r="P77" s="26">
        <v>2</v>
      </c>
      <c r="Q77" s="26">
        <v>2</v>
      </c>
      <c r="R77" s="26">
        <v>2</v>
      </c>
      <c r="S77" s="26">
        <v>2</v>
      </c>
      <c r="T77" s="26">
        <v>2</v>
      </c>
      <c r="U77" s="26">
        <v>2</v>
      </c>
      <c r="V77" s="26">
        <v>2</v>
      </c>
      <c r="W77" s="28">
        <v>0</v>
      </c>
      <c r="X77" s="26">
        <v>0</v>
      </c>
      <c r="Y77" s="26">
        <v>0</v>
      </c>
    </row>
    <row r="78" spans="1:26">
      <c r="A78" s="58"/>
      <c r="B78" s="58"/>
      <c r="C78" s="46" t="s">
        <v>75</v>
      </c>
      <c r="D78" s="46"/>
      <c r="E78" s="48" t="s">
        <v>216</v>
      </c>
      <c r="F78" s="47"/>
      <c r="G78" s="26">
        <v>2</v>
      </c>
      <c r="H78" s="26">
        <v>2</v>
      </c>
      <c r="I78" s="26">
        <v>2</v>
      </c>
      <c r="J78" s="26">
        <v>2</v>
      </c>
      <c r="K78" s="26">
        <v>2</v>
      </c>
      <c r="L78" s="26">
        <v>2</v>
      </c>
      <c r="M78" s="26">
        <v>2</v>
      </c>
      <c r="N78" s="26">
        <v>2</v>
      </c>
      <c r="O78" s="26">
        <v>2</v>
      </c>
      <c r="P78" s="26">
        <v>2</v>
      </c>
      <c r="Q78" s="26">
        <v>2</v>
      </c>
      <c r="R78" s="26">
        <v>2</v>
      </c>
      <c r="S78" s="26">
        <v>2</v>
      </c>
      <c r="T78" s="26">
        <v>2</v>
      </c>
      <c r="U78" s="26">
        <v>2</v>
      </c>
      <c r="V78" s="26">
        <v>2</v>
      </c>
      <c r="W78" s="26">
        <v>2</v>
      </c>
      <c r="X78" s="28">
        <v>0</v>
      </c>
      <c r="Y78" s="26">
        <v>0</v>
      </c>
    </row>
    <row r="79" spans="1:26">
      <c r="A79" s="58"/>
      <c r="B79" s="58"/>
      <c r="C79" s="46" t="s">
        <v>76</v>
      </c>
      <c r="D79" s="46"/>
      <c r="E79" s="51" t="s">
        <v>220</v>
      </c>
      <c r="F79" s="52"/>
      <c r="G79" s="26">
        <v>2</v>
      </c>
      <c r="H79" s="26">
        <v>2</v>
      </c>
      <c r="I79" s="26">
        <v>2</v>
      </c>
      <c r="J79" s="26">
        <v>2</v>
      </c>
      <c r="K79" s="26">
        <v>2</v>
      </c>
      <c r="L79" s="26">
        <v>2</v>
      </c>
      <c r="M79" s="26">
        <v>2</v>
      </c>
      <c r="N79" s="26">
        <v>2</v>
      </c>
      <c r="O79" s="26">
        <v>2</v>
      </c>
      <c r="P79" s="26">
        <v>2</v>
      </c>
      <c r="Q79" s="26">
        <v>2</v>
      </c>
      <c r="R79" s="26">
        <v>2</v>
      </c>
      <c r="S79" s="26">
        <v>2</v>
      </c>
      <c r="T79" s="26">
        <v>2</v>
      </c>
      <c r="U79" s="26">
        <v>2</v>
      </c>
      <c r="V79" s="26">
        <v>2</v>
      </c>
      <c r="W79" s="26">
        <v>2</v>
      </c>
      <c r="X79" s="28">
        <v>0</v>
      </c>
      <c r="Y79" s="26">
        <v>0</v>
      </c>
    </row>
    <row r="80" spans="1:26">
      <c r="A80" s="58"/>
      <c r="B80" s="58"/>
      <c r="C80" s="55" t="s">
        <v>77</v>
      </c>
      <c r="D80" s="56"/>
      <c r="E80" s="48" t="s">
        <v>216</v>
      </c>
      <c r="F80" s="47"/>
      <c r="G80" s="26">
        <v>2</v>
      </c>
      <c r="H80" s="26">
        <v>2</v>
      </c>
      <c r="I80" s="26">
        <v>2</v>
      </c>
      <c r="J80" s="26">
        <v>2</v>
      </c>
      <c r="K80" s="26">
        <v>2</v>
      </c>
      <c r="L80" s="26">
        <v>2</v>
      </c>
      <c r="M80" s="26">
        <v>2</v>
      </c>
      <c r="N80" s="26">
        <v>2</v>
      </c>
      <c r="O80" s="26">
        <v>2</v>
      </c>
      <c r="P80" s="26">
        <v>2</v>
      </c>
      <c r="Q80" s="26">
        <v>2</v>
      </c>
      <c r="R80" s="26">
        <v>2</v>
      </c>
      <c r="S80" s="26">
        <v>2</v>
      </c>
      <c r="T80" s="26">
        <v>2</v>
      </c>
      <c r="U80" s="26">
        <v>2</v>
      </c>
      <c r="V80" s="26">
        <v>2</v>
      </c>
      <c r="W80" s="26">
        <v>2</v>
      </c>
      <c r="X80" s="28">
        <v>0</v>
      </c>
      <c r="Y80" s="26">
        <v>0</v>
      </c>
    </row>
    <row r="81" spans="1:25">
      <c r="A81" s="58"/>
      <c r="B81" s="58"/>
      <c r="C81" s="55" t="s">
        <v>78</v>
      </c>
      <c r="D81" s="56"/>
      <c r="E81" s="48" t="s">
        <v>216</v>
      </c>
      <c r="F81" s="47"/>
      <c r="G81" s="26">
        <v>2</v>
      </c>
      <c r="H81" s="26">
        <v>2</v>
      </c>
      <c r="I81" s="26">
        <v>2</v>
      </c>
      <c r="J81" s="26">
        <v>2</v>
      </c>
      <c r="K81" s="26">
        <v>2</v>
      </c>
      <c r="L81" s="26">
        <v>2</v>
      </c>
      <c r="M81" s="26">
        <v>2</v>
      </c>
      <c r="N81" s="26">
        <v>2</v>
      </c>
      <c r="O81" s="26">
        <v>2</v>
      </c>
      <c r="P81" s="26">
        <v>2</v>
      </c>
      <c r="Q81" s="26">
        <v>2</v>
      </c>
      <c r="R81" s="26">
        <v>2</v>
      </c>
      <c r="S81" s="26">
        <v>2</v>
      </c>
      <c r="T81" s="26">
        <v>2</v>
      </c>
      <c r="U81" s="26">
        <v>2</v>
      </c>
      <c r="V81" s="26">
        <v>2</v>
      </c>
      <c r="W81" s="26">
        <v>2</v>
      </c>
      <c r="X81" s="28">
        <v>0</v>
      </c>
      <c r="Y81" s="26">
        <v>0</v>
      </c>
    </row>
    <row r="82" spans="1:25">
      <c r="A82" s="58"/>
      <c r="B82" s="58"/>
      <c r="C82" s="46" t="s">
        <v>79</v>
      </c>
      <c r="D82" s="46"/>
      <c r="E82" s="48" t="s">
        <v>216</v>
      </c>
      <c r="F82" s="47"/>
      <c r="G82" s="26">
        <v>2</v>
      </c>
      <c r="H82" s="26">
        <v>2</v>
      </c>
      <c r="I82" s="26">
        <v>2</v>
      </c>
      <c r="J82" s="26">
        <v>2</v>
      </c>
      <c r="K82" s="26">
        <v>2</v>
      </c>
      <c r="L82" s="26">
        <v>2</v>
      </c>
      <c r="M82" s="26">
        <v>2</v>
      </c>
      <c r="N82" s="26">
        <v>2</v>
      </c>
      <c r="O82" s="26">
        <v>2</v>
      </c>
      <c r="P82" s="26">
        <v>2</v>
      </c>
      <c r="Q82" s="26">
        <v>2</v>
      </c>
      <c r="R82" s="26">
        <v>2</v>
      </c>
      <c r="S82" s="26">
        <v>2</v>
      </c>
      <c r="T82" s="26">
        <v>2</v>
      </c>
      <c r="U82" s="26">
        <v>2</v>
      </c>
      <c r="V82" s="26">
        <v>2</v>
      </c>
      <c r="W82" s="26">
        <v>2</v>
      </c>
      <c r="X82" s="28">
        <v>0</v>
      </c>
      <c r="Y82" s="26">
        <v>0</v>
      </c>
    </row>
    <row r="83" spans="1:25">
      <c r="A83" s="58"/>
      <c r="B83" s="58" t="s">
        <v>80</v>
      </c>
      <c r="C83" s="46" t="s">
        <v>81</v>
      </c>
      <c r="D83" s="46"/>
      <c r="E83" s="54" t="s">
        <v>19</v>
      </c>
      <c r="F83" s="54"/>
      <c r="G83" s="26">
        <v>5</v>
      </c>
      <c r="H83" s="26">
        <v>5</v>
      </c>
      <c r="I83" s="26">
        <v>5</v>
      </c>
      <c r="J83" s="26">
        <v>5</v>
      </c>
      <c r="K83" s="26">
        <v>5</v>
      </c>
      <c r="L83" s="26">
        <v>5</v>
      </c>
      <c r="M83" s="26">
        <v>5</v>
      </c>
      <c r="N83" s="26">
        <v>5</v>
      </c>
      <c r="O83" s="26">
        <v>5</v>
      </c>
      <c r="P83" s="26">
        <v>5</v>
      </c>
      <c r="Q83" s="26">
        <v>5</v>
      </c>
      <c r="R83" s="26">
        <v>5</v>
      </c>
      <c r="S83" s="26">
        <v>5</v>
      </c>
      <c r="T83" s="26">
        <v>5</v>
      </c>
      <c r="U83" s="26">
        <v>5</v>
      </c>
      <c r="V83" s="26">
        <v>5</v>
      </c>
      <c r="W83" s="26">
        <v>5</v>
      </c>
      <c r="X83" s="26">
        <v>5</v>
      </c>
      <c r="Y83" s="28">
        <v>0</v>
      </c>
    </row>
    <row r="84" spans="1:25">
      <c r="A84" s="58"/>
      <c r="B84" s="58"/>
      <c r="C84" s="46" t="s">
        <v>82</v>
      </c>
      <c r="D84" s="46"/>
      <c r="E84" s="54" t="s">
        <v>19</v>
      </c>
      <c r="F84" s="54"/>
      <c r="G84" s="26">
        <v>5</v>
      </c>
      <c r="H84" s="26">
        <v>5</v>
      </c>
      <c r="I84" s="26">
        <v>5</v>
      </c>
      <c r="J84" s="26">
        <v>5</v>
      </c>
      <c r="K84" s="26">
        <v>5</v>
      </c>
      <c r="L84" s="26">
        <v>5</v>
      </c>
      <c r="M84" s="26">
        <v>5</v>
      </c>
      <c r="N84" s="26">
        <v>5</v>
      </c>
      <c r="O84" s="26">
        <v>5</v>
      </c>
      <c r="P84" s="26">
        <v>5</v>
      </c>
      <c r="Q84" s="26">
        <v>5</v>
      </c>
      <c r="R84" s="26">
        <v>5</v>
      </c>
      <c r="S84" s="26">
        <v>5</v>
      </c>
      <c r="T84" s="26">
        <v>5</v>
      </c>
      <c r="U84" s="26">
        <v>5</v>
      </c>
      <c r="V84" s="26">
        <v>5</v>
      </c>
      <c r="W84" s="26">
        <v>5</v>
      </c>
      <c r="X84" s="26">
        <v>5</v>
      </c>
      <c r="Y84" s="28">
        <v>0</v>
      </c>
    </row>
    <row r="85" spans="1:25">
      <c r="A85" s="58"/>
      <c r="B85" s="62" t="s">
        <v>13</v>
      </c>
      <c r="C85" s="62"/>
      <c r="D85" s="62"/>
      <c r="E85" s="57" t="s">
        <v>11</v>
      </c>
      <c r="F85" s="57"/>
      <c r="G85" s="57">
        <f>SUM(G15:G84)</f>
        <v>145</v>
      </c>
      <c r="H85" s="57"/>
      <c r="I85" s="26">
        <f t="shared" ref="I85:M85" si="0">SUM(I15:I84)</f>
        <v>134</v>
      </c>
      <c r="J85" s="26">
        <f t="shared" si="0"/>
        <v>133</v>
      </c>
      <c r="K85" s="26">
        <f t="shared" si="0"/>
        <v>132</v>
      </c>
      <c r="L85" s="26">
        <f t="shared" si="0"/>
        <v>131</v>
      </c>
      <c r="M85" s="26">
        <f t="shared" si="0"/>
        <v>126</v>
      </c>
      <c r="N85" s="26">
        <f>SUM(N15:N84)-N27</f>
        <v>114</v>
      </c>
      <c r="O85" s="26">
        <f>SUM(O15:O84)-O36</f>
        <v>101</v>
      </c>
      <c r="P85" s="26">
        <f>SUM(P15:P84)-P38</f>
        <v>96</v>
      </c>
      <c r="Q85" s="26">
        <f t="shared" ref="Q85:X85" si="1">SUM(Q15:Q84)</f>
        <v>91</v>
      </c>
      <c r="R85" s="26">
        <f t="shared" si="1"/>
        <v>85</v>
      </c>
      <c r="S85" s="26">
        <f t="shared" si="1"/>
        <v>54</v>
      </c>
      <c r="T85" s="26">
        <f>SUM(T15:T84)-T58</f>
        <v>42</v>
      </c>
      <c r="U85" s="26">
        <f t="shared" si="1"/>
        <v>33</v>
      </c>
      <c r="V85" s="26">
        <f t="shared" si="1"/>
        <v>24</v>
      </c>
      <c r="W85" s="26">
        <f t="shared" si="1"/>
        <v>20</v>
      </c>
      <c r="X85" s="26">
        <f t="shared" si="1"/>
        <v>10</v>
      </c>
      <c r="Y85" s="26">
        <v>0</v>
      </c>
    </row>
    <row r="86" spans="1:25">
      <c r="A86" s="58"/>
      <c r="B86" s="62"/>
      <c r="C86" s="62"/>
      <c r="D86" s="62"/>
      <c r="E86" s="57" t="s">
        <v>12</v>
      </c>
      <c r="F86" s="57"/>
      <c r="G86" s="57">
        <f>SUM(H15:H84)</f>
        <v>158</v>
      </c>
      <c r="H86" s="57"/>
      <c r="I86" s="26">
        <f t="shared" ref="I86:X86" si="2">SUM(I15:I84)</f>
        <v>134</v>
      </c>
      <c r="J86" s="26">
        <f t="shared" si="2"/>
        <v>133</v>
      </c>
      <c r="K86" s="26">
        <f t="shared" si="2"/>
        <v>132</v>
      </c>
      <c r="L86" s="26">
        <f t="shared" si="2"/>
        <v>131</v>
      </c>
      <c r="M86" s="26">
        <f>SUM(M15:M84)+N27</f>
        <v>128</v>
      </c>
      <c r="N86" s="26">
        <f>SUM(N15:N84)+O36-N27</f>
        <v>115</v>
      </c>
      <c r="O86" s="26">
        <f>SUM(O15:O84)+P38-O36</f>
        <v>106</v>
      </c>
      <c r="P86" s="26">
        <f>SUM(P15:P84)-P38</f>
        <v>96</v>
      </c>
      <c r="Q86" s="26">
        <f t="shared" si="2"/>
        <v>91</v>
      </c>
      <c r="R86" s="26">
        <f>SUM(R15:R84)-R46</f>
        <v>84</v>
      </c>
      <c r="S86" s="26">
        <f>SUM(S15:S84)+T58</f>
        <v>60</v>
      </c>
      <c r="T86" s="26">
        <f>SUM(T15:T84)-T58</f>
        <v>42</v>
      </c>
      <c r="U86" s="26">
        <f t="shared" si="2"/>
        <v>33</v>
      </c>
      <c r="V86" s="26">
        <f t="shared" si="2"/>
        <v>24</v>
      </c>
      <c r="W86" s="26">
        <f t="shared" si="2"/>
        <v>20</v>
      </c>
      <c r="X86" s="26">
        <f t="shared" si="2"/>
        <v>10</v>
      </c>
      <c r="Y86" s="26">
        <v>0</v>
      </c>
    </row>
  </sheetData>
  <mergeCells count="161">
    <mergeCell ref="G85:H85"/>
    <mergeCell ref="E86:F86"/>
    <mergeCell ref="G86:H86"/>
    <mergeCell ref="A15:A86"/>
    <mergeCell ref="B18:B27"/>
    <mergeCell ref="B28:B38"/>
    <mergeCell ref="B39:B58"/>
    <mergeCell ref="B59:B66"/>
    <mergeCell ref="B67:B74"/>
    <mergeCell ref="B75:B82"/>
    <mergeCell ref="B83:B84"/>
    <mergeCell ref="B85:D86"/>
    <mergeCell ref="C81:D81"/>
    <mergeCell ref="E81:F81"/>
    <mergeCell ref="C82:D82"/>
    <mergeCell ref="E82:F82"/>
    <mergeCell ref="C83:D83"/>
    <mergeCell ref="E83:F83"/>
    <mergeCell ref="C84:D84"/>
    <mergeCell ref="E84:F84"/>
    <mergeCell ref="E85:F8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B16:D16"/>
    <mergeCell ref="E16:F16"/>
    <mergeCell ref="B17:D17"/>
    <mergeCell ref="E17:F17"/>
    <mergeCell ref="C18:D18"/>
    <mergeCell ref="E18:F18"/>
    <mergeCell ref="C19:D19"/>
    <mergeCell ref="E19:F19"/>
    <mergeCell ref="C20:D20"/>
    <mergeCell ref="E20:F20"/>
    <mergeCell ref="A1:B1"/>
    <mergeCell ref="A2:B2"/>
    <mergeCell ref="A3:B3"/>
    <mergeCell ref="A4:B4"/>
    <mergeCell ref="B6:E6"/>
    <mergeCell ref="B12:C12"/>
    <mergeCell ref="C14:D14"/>
    <mergeCell ref="E14:F14"/>
    <mergeCell ref="B15:D15"/>
    <mergeCell ref="E15:F15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12"/>
  <sheetViews>
    <sheetView topLeftCell="B85" zoomScale="59" workbookViewId="0">
      <selection activeCell="Z121" sqref="Z121"/>
    </sheetView>
  </sheetViews>
  <sheetFormatPr defaultColWidth="9" defaultRowHeight="14.4"/>
  <cols>
    <col min="1" max="1" width="13.5546875" customWidth="1"/>
    <col min="2" max="2" width="21.109375" customWidth="1"/>
    <col min="3" max="3" width="55.88671875" customWidth="1"/>
    <col min="4" max="4" width="12" customWidth="1"/>
    <col min="5" max="5" width="10.33203125" customWidth="1"/>
    <col min="6" max="6" width="20.109375" customWidth="1"/>
    <col min="7" max="8" width="6.109375" customWidth="1"/>
    <col min="9" max="19" width="6" customWidth="1"/>
    <col min="20" max="20" width="6.109375" customWidth="1"/>
    <col min="21" max="28" width="6" customWidth="1"/>
    <col min="29" max="29" width="6.109375" customWidth="1"/>
  </cols>
  <sheetData>
    <row r="1" spans="1:59" ht="50.4">
      <c r="A1" s="43" t="s">
        <v>0</v>
      </c>
      <c r="B1" s="43"/>
      <c r="C1" s="39" t="s">
        <v>215</v>
      </c>
      <c r="D1" s="10"/>
      <c r="E1" s="11"/>
      <c r="F1" s="12" t="s">
        <v>83</v>
      </c>
    </row>
    <row r="2" spans="1:59" ht="16.8">
      <c r="A2" s="43" t="s">
        <v>2</v>
      </c>
      <c r="B2" s="43"/>
      <c r="C2" s="13" t="s">
        <v>84</v>
      </c>
      <c r="D2" s="10"/>
      <c r="E2" s="14"/>
      <c r="F2" s="15" t="s">
        <v>85</v>
      </c>
    </row>
    <row r="3" spans="1:59" ht="16.8">
      <c r="A3" s="43" t="s">
        <v>5</v>
      </c>
      <c r="B3" s="43"/>
      <c r="C3" s="16">
        <v>45951</v>
      </c>
      <c r="D3" s="10"/>
      <c r="E3" s="17"/>
      <c r="F3" s="15" t="s">
        <v>4</v>
      </c>
    </row>
    <row r="4" spans="1:59" ht="18" customHeight="1">
      <c r="A4" s="43" t="s">
        <v>7</v>
      </c>
      <c r="B4" s="43"/>
      <c r="C4" s="16">
        <v>45967</v>
      </c>
      <c r="D4" s="10"/>
      <c r="E4" s="18"/>
      <c r="F4" s="15" t="s">
        <v>86</v>
      </c>
    </row>
    <row r="5" spans="1:59" ht="18" customHeight="1">
      <c r="A5" s="10"/>
      <c r="B5" s="10"/>
      <c r="C5" s="10"/>
      <c r="D5" s="10"/>
      <c r="E5" s="19"/>
      <c r="F5" s="20" t="s">
        <v>6</v>
      </c>
    </row>
    <row r="6" spans="1:59" ht="16.8">
      <c r="A6" s="10"/>
      <c r="B6" s="63" t="s">
        <v>87</v>
      </c>
      <c r="C6" s="63"/>
      <c r="D6" s="63"/>
      <c r="E6" s="64"/>
    </row>
    <row r="7" spans="1:59" ht="16.8">
      <c r="A7" s="10"/>
      <c r="B7" s="21" t="s">
        <v>9</v>
      </c>
      <c r="C7" s="21" t="s">
        <v>10</v>
      </c>
      <c r="D7" s="21" t="s">
        <v>11</v>
      </c>
      <c r="E7" s="21" t="s">
        <v>12</v>
      </c>
    </row>
    <row r="8" spans="1:59" ht="16.8">
      <c r="A8" s="10"/>
      <c r="B8" s="22">
        <v>1</v>
      </c>
      <c r="C8" s="38" t="s">
        <v>216</v>
      </c>
      <c r="D8" s="13">
        <f ca="1">SUMIF($E$15:$F$89,"Chế Linh",$G$15:$G$89)+SUMIF($E$15:$F$89,"All team",$G$15:$G$89)/4+SUMIF($E$15:$F$89,"Gia Huy,Chế Linh",$G$15:$G$89)/2+SUMIF($E$15:$F$89,"Gia Huy , Chế Linh",$G$15:$G$89)/2</f>
        <v>51</v>
      </c>
      <c r="E8" s="13">
        <f ca="1">SUMIF($E$15:$F$89,"Chế Linh",$H$15:$H$89)+SUMIF($E$15:$F$89,"All team",$H$15:$H$89)/4+SUMIF($E$15:$F$89,"Gia Huy,Chế Linh",$H$15:$H$89)/2+SUMIF($E$15:$F$89,"Gia Huy , Chế Linh",$H$15:$H$89)/2</f>
        <v>56</v>
      </c>
    </row>
    <row r="9" spans="1:59" ht="16.8">
      <c r="A9" s="10"/>
      <c r="B9" s="22">
        <v>2</v>
      </c>
      <c r="C9" s="38" t="s">
        <v>217</v>
      </c>
      <c r="D9" s="13">
        <f ca="1">SUMIF($E$15:$F$89,"Lai Khê",$G$15:$G$89)+SUMIF($E$15:$F$89,"All team",$G$15:$G$89)/4+SUMIF($E$15:$F$89,"Lai Khê,Khoan",$G$15:$G$89)/2+SUMIF($E$15:$F$89,"Khoan,Lai Khê",$G$15:$G$89)/2</f>
        <v>33.5</v>
      </c>
      <c r="E9" s="13">
        <f ca="1">SUMIF($E$15:$F$89,"Lai Khê",$H$15:$H$89)+SUMIF($E$15:$F$89,"All team",$H$15:$H$89)/4+SUMIF($E$15:$F$89,"Lai Khê,Khoan",$H$15:$H$89)/2+SUMIF($E$15:$F$89,"Khoan,Lai Khê",$H$15:$H$89)/2</f>
        <v>35</v>
      </c>
    </row>
    <row r="10" spans="1:59" ht="16.8">
      <c r="A10" s="10"/>
      <c r="B10" s="22">
        <v>3</v>
      </c>
      <c r="C10" s="38" t="s">
        <v>218</v>
      </c>
      <c r="D10" s="13">
        <f ca="1">SUMIF($E$15:$F$89,"Khoan",$G$15:$G$89)+SUMIF($E$15:$F$89,"All team",$G$15:$G$89)/4+SUMIF($E$15:$F$89,"Lai Khê,Khoan",$G$15:$G$89)/2+SUMIF($E$15:$F$89,"Khoan,Lai Khê",$G$15:$G$89)/2</f>
        <v>36.5</v>
      </c>
      <c r="E10" s="13">
        <f ca="1">SUMIF($E$15:$F$89,"Khoan",$H$15:$H$89)+SUMIF($E$15:$F$89,"All team",$H$15:$H$89)/4+SUMIF($E$15:$F$89,"Lai Khê,Khoan",$H$15:$H$89)/2+SUMIF($E$15:$F$89,"Khoan,Lai Khê",$H$15:$H$89)/2</f>
        <v>39</v>
      </c>
    </row>
    <row r="11" spans="1:59" ht="16.8">
      <c r="A11" s="10"/>
      <c r="B11" s="22">
        <v>4</v>
      </c>
      <c r="C11" s="38" t="s">
        <v>219</v>
      </c>
      <c r="D11" s="13">
        <f ca="1">SUMIF($E$15:$F$89,"Gia Huy",$G$15:$G$89)+SUMIF($E$15:$F$89,"All team",$G$15:$G$89)/4+SUMIF($E$15:$F$89,"Gia Huy,Chế Linh",$G$15:$G$89)/2+SUMIF($E$15:$F$89,"Gia Huy , Chế Linh",$G$15:$G$89)/2</f>
        <v>30</v>
      </c>
      <c r="E11" s="13">
        <f ca="1">SUMIF($E$15:$F$89,"Gia Huy",$H$15:$H$89)+SUMIF($E$15:$F$89,"All team",$H$15:$H$89)/4+SUMIF($E$15:$F$89,"Gia Huy,Chế Linh",$H$15:$H$89)/2+SUMIF($E$15:$F$89,"Gia Huy , Chế Linh",$H$15:$H$89)/2</f>
        <v>35</v>
      </c>
    </row>
    <row r="12" spans="1:59" ht="16.8">
      <c r="A12" s="10"/>
      <c r="B12" s="44" t="s">
        <v>13</v>
      </c>
      <c r="C12" s="44"/>
      <c r="D12" s="23">
        <f ca="1">SUM(D8:D11)</f>
        <v>151</v>
      </c>
      <c r="E12" s="23">
        <f ca="1">SUM(E8:E11)</f>
        <v>165</v>
      </c>
    </row>
    <row r="14" spans="1:59" ht="63.75" customHeight="1">
      <c r="A14" s="32" t="s">
        <v>14</v>
      </c>
      <c r="B14" s="32" t="s">
        <v>15</v>
      </c>
      <c r="C14" s="65" t="s">
        <v>16</v>
      </c>
      <c r="D14" s="65"/>
      <c r="E14" s="65" t="s">
        <v>17</v>
      </c>
      <c r="F14" s="65"/>
      <c r="G14" s="25" t="s">
        <v>11</v>
      </c>
      <c r="H14" s="25" t="s">
        <v>12</v>
      </c>
      <c r="I14" s="27">
        <v>45951</v>
      </c>
      <c r="J14" s="27">
        <v>45952</v>
      </c>
      <c r="K14" s="27">
        <v>45953</v>
      </c>
      <c r="L14" s="27">
        <v>45954</v>
      </c>
      <c r="M14" s="27">
        <v>45955</v>
      </c>
      <c r="N14" s="27">
        <v>45956</v>
      </c>
      <c r="O14" s="27">
        <v>45957</v>
      </c>
      <c r="P14" s="27">
        <v>45958</v>
      </c>
      <c r="Q14" s="27">
        <v>45959</v>
      </c>
      <c r="R14" s="27">
        <v>45960</v>
      </c>
      <c r="S14" s="27">
        <v>45961</v>
      </c>
      <c r="T14" s="27">
        <v>45962</v>
      </c>
      <c r="U14" s="27">
        <v>45963</v>
      </c>
      <c r="V14" s="27">
        <v>45964</v>
      </c>
      <c r="W14" s="27">
        <v>45965</v>
      </c>
      <c r="X14" s="27">
        <v>45966</v>
      </c>
      <c r="Y14" s="27">
        <v>45967</v>
      </c>
      <c r="AE14" s="34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</row>
    <row r="15" spans="1:59" ht="16.8">
      <c r="A15" s="58" t="s">
        <v>84</v>
      </c>
      <c r="B15" s="46" t="s">
        <v>18</v>
      </c>
      <c r="C15" s="46"/>
      <c r="D15" s="46"/>
      <c r="E15" s="47" t="s">
        <v>19</v>
      </c>
      <c r="F15" s="47"/>
      <c r="G15" s="26">
        <v>10</v>
      </c>
      <c r="H15" s="26">
        <v>10</v>
      </c>
      <c r="I15" s="26">
        <v>10</v>
      </c>
      <c r="J15" s="28">
        <v>0</v>
      </c>
      <c r="K15" s="26">
        <v>0</v>
      </c>
      <c r="L15" s="26">
        <v>0</v>
      </c>
      <c r="M15" s="26">
        <v>0</v>
      </c>
      <c r="N15" s="26">
        <v>0</v>
      </c>
      <c r="O15" s="26">
        <v>0</v>
      </c>
      <c r="P15" s="26">
        <v>0</v>
      </c>
      <c r="Q15" s="26">
        <v>0</v>
      </c>
      <c r="R15" s="26">
        <v>0</v>
      </c>
      <c r="S15" s="26">
        <v>0</v>
      </c>
      <c r="T15" s="26">
        <v>0</v>
      </c>
      <c r="U15" s="26">
        <v>0</v>
      </c>
      <c r="V15" s="26">
        <v>0</v>
      </c>
      <c r="W15" s="26">
        <v>0</v>
      </c>
      <c r="X15" s="26">
        <v>0</v>
      </c>
      <c r="Y15" s="26">
        <v>0</v>
      </c>
    </row>
    <row r="16" spans="1:59" ht="16.8">
      <c r="A16" s="58"/>
      <c r="B16" s="46" t="s">
        <v>88</v>
      </c>
      <c r="C16" s="46"/>
      <c r="D16" s="46"/>
      <c r="E16" s="48" t="s">
        <v>220</v>
      </c>
      <c r="F16" s="47"/>
      <c r="G16" s="26">
        <v>4</v>
      </c>
      <c r="H16" s="26">
        <v>10</v>
      </c>
      <c r="I16" s="26">
        <v>4</v>
      </c>
      <c r="J16" s="28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0</v>
      </c>
      <c r="S16" s="26">
        <v>0</v>
      </c>
      <c r="T16" s="26">
        <v>0</v>
      </c>
      <c r="U16" s="26">
        <v>0</v>
      </c>
      <c r="V16" s="26">
        <v>0</v>
      </c>
      <c r="W16" s="26">
        <v>0</v>
      </c>
      <c r="X16" s="26">
        <v>0</v>
      </c>
      <c r="Y16" s="26">
        <v>0</v>
      </c>
    </row>
    <row r="17" spans="1:25" ht="16.8">
      <c r="A17" s="58"/>
      <c r="B17" s="47"/>
      <c r="C17" s="47"/>
      <c r="D17" s="47"/>
      <c r="E17" s="47"/>
      <c r="F17" s="47"/>
      <c r="G17" s="26"/>
      <c r="H17" s="26"/>
      <c r="I17" s="26"/>
      <c r="J17" s="29">
        <v>6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 spans="1:25" ht="16.8">
      <c r="A18" s="58"/>
      <c r="B18" s="46" t="s">
        <v>89</v>
      </c>
      <c r="C18" s="46"/>
      <c r="D18" s="46"/>
      <c r="E18" s="48" t="s">
        <v>227</v>
      </c>
      <c r="F18" s="47"/>
      <c r="G18" s="26">
        <v>4</v>
      </c>
      <c r="H18" s="26">
        <v>10</v>
      </c>
      <c r="I18" s="26">
        <v>10</v>
      </c>
      <c r="J18" s="26">
        <v>10</v>
      </c>
      <c r="K18" s="26">
        <v>10</v>
      </c>
      <c r="L18" s="28">
        <v>0</v>
      </c>
      <c r="M18" s="26">
        <v>0</v>
      </c>
      <c r="N18" s="26">
        <v>0</v>
      </c>
      <c r="O18" s="26">
        <v>0</v>
      </c>
      <c r="P18" s="26">
        <v>0</v>
      </c>
      <c r="Q18" s="26">
        <v>0</v>
      </c>
      <c r="R18" s="26">
        <v>0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</row>
    <row r="19" spans="1:25" ht="17.25" customHeight="1">
      <c r="A19" s="58"/>
      <c r="B19" s="58" t="s">
        <v>22</v>
      </c>
      <c r="C19" s="46" t="s">
        <v>90</v>
      </c>
      <c r="D19" s="46"/>
      <c r="E19" s="48" t="s">
        <v>220</v>
      </c>
      <c r="F19" s="47"/>
      <c r="G19" s="26">
        <v>2</v>
      </c>
      <c r="H19" s="26">
        <v>1</v>
      </c>
      <c r="I19" s="26">
        <v>1</v>
      </c>
      <c r="J19" s="26">
        <v>1</v>
      </c>
      <c r="K19" s="26">
        <v>1</v>
      </c>
      <c r="L19" s="28">
        <v>0</v>
      </c>
      <c r="M19" s="26">
        <v>0</v>
      </c>
      <c r="N19" s="26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</row>
    <row r="20" spans="1:25" ht="16.8">
      <c r="A20" s="58"/>
      <c r="B20" s="58"/>
      <c r="C20" s="46" t="s">
        <v>91</v>
      </c>
      <c r="D20" s="46"/>
      <c r="E20" s="48" t="s">
        <v>220</v>
      </c>
      <c r="F20" s="47"/>
      <c r="G20" s="26">
        <v>2</v>
      </c>
      <c r="H20" s="26">
        <v>1</v>
      </c>
      <c r="I20" s="26">
        <v>1</v>
      </c>
      <c r="J20" s="26">
        <v>1</v>
      </c>
      <c r="K20" s="26">
        <v>1</v>
      </c>
      <c r="L20" s="28">
        <v>0</v>
      </c>
      <c r="M20" s="26">
        <v>0</v>
      </c>
      <c r="N20" s="26">
        <v>0</v>
      </c>
      <c r="O20" s="26">
        <v>0</v>
      </c>
      <c r="P20" s="26">
        <v>0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>
        <v>0</v>
      </c>
      <c r="W20" s="26">
        <v>0</v>
      </c>
      <c r="X20" s="26">
        <v>0</v>
      </c>
      <c r="Y20" s="26">
        <v>0</v>
      </c>
    </row>
    <row r="21" spans="1:25" ht="16.8">
      <c r="A21" s="58"/>
      <c r="B21" s="58"/>
      <c r="C21" s="46" t="s">
        <v>92</v>
      </c>
      <c r="D21" s="46"/>
      <c r="E21" s="48" t="s">
        <v>220</v>
      </c>
      <c r="F21" s="47"/>
      <c r="G21" s="26">
        <v>2</v>
      </c>
      <c r="H21" s="26">
        <v>1</v>
      </c>
      <c r="I21" s="26">
        <v>1</v>
      </c>
      <c r="J21" s="26">
        <v>1</v>
      </c>
      <c r="K21" s="26">
        <v>1</v>
      </c>
      <c r="L21" s="28">
        <v>0</v>
      </c>
      <c r="M21" s="26">
        <v>0</v>
      </c>
      <c r="N21" s="26">
        <v>0</v>
      </c>
      <c r="O21" s="26">
        <v>0</v>
      </c>
      <c r="P21" s="26">
        <v>0</v>
      </c>
      <c r="Q21" s="26">
        <v>0</v>
      </c>
      <c r="R21" s="26">
        <v>0</v>
      </c>
      <c r="S21" s="26">
        <v>0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</row>
    <row r="22" spans="1:25" ht="16.8">
      <c r="A22" s="58"/>
      <c r="B22" s="58"/>
      <c r="C22" s="46" t="s">
        <v>93</v>
      </c>
      <c r="D22" s="46"/>
      <c r="E22" s="48" t="s">
        <v>220</v>
      </c>
      <c r="F22" s="47"/>
      <c r="G22" s="26">
        <v>2</v>
      </c>
      <c r="H22" s="26">
        <v>2</v>
      </c>
      <c r="I22" s="26">
        <v>2</v>
      </c>
      <c r="J22" s="26">
        <v>2</v>
      </c>
      <c r="K22" s="26">
        <v>2</v>
      </c>
      <c r="L22" s="28">
        <v>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0</v>
      </c>
      <c r="U22" s="26">
        <v>0</v>
      </c>
      <c r="V22" s="26">
        <v>0</v>
      </c>
      <c r="W22" s="26">
        <v>0</v>
      </c>
      <c r="X22" s="26">
        <v>0</v>
      </c>
      <c r="Y22" s="26">
        <v>0</v>
      </c>
    </row>
    <row r="23" spans="1:25" ht="16.8">
      <c r="A23" s="58"/>
      <c r="B23" s="58"/>
      <c r="C23" s="46" t="s">
        <v>94</v>
      </c>
      <c r="D23" s="46"/>
      <c r="E23" s="48" t="s">
        <v>220</v>
      </c>
      <c r="F23" s="47"/>
      <c r="G23" s="26">
        <v>1</v>
      </c>
      <c r="H23" s="26">
        <v>1</v>
      </c>
      <c r="I23" s="26">
        <v>1</v>
      </c>
      <c r="J23" s="26">
        <v>1</v>
      </c>
      <c r="K23" s="26">
        <v>1</v>
      </c>
      <c r="L23" s="28">
        <v>0</v>
      </c>
      <c r="M23" s="26">
        <v>0</v>
      </c>
      <c r="N23" s="26">
        <v>0</v>
      </c>
      <c r="O23" s="26">
        <v>0</v>
      </c>
      <c r="P23" s="26">
        <v>0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0</v>
      </c>
      <c r="W23" s="26">
        <v>0</v>
      </c>
      <c r="X23" s="26">
        <v>0</v>
      </c>
      <c r="Y23" s="26">
        <v>0</v>
      </c>
    </row>
    <row r="24" spans="1:25" ht="16.8">
      <c r="A24" s="58"/>
      <c r="B24" s="58"/>
      <c r="C24" s="46" t="s">
        <v>95</v>
      </c>
      <c r="D24" s="46"/>
      <c r="E24" s="48" t="s">
        <v>220</v>
      </c>
      <c r="F24" s="47"/>
      <c r="G24" s="26">
        <v>1</v>
      </c>
      <c r="H24" s="26">
        <v>1</v>
      </c>
      <c r="I24" s="26">
        <v>1</v>
      </c>
      <c r="J24" s="26">
        <v>1</v>
      </c>
      <c r="K24" s="26">
        <v>1</v>
      </c>
      <c r="L24" s="28">
        <v>0</v>
      </c>
      <c r="M24" s="26">
        <v>0</v>
      </c>
      <c r="N24" s="26">
        <v>0</v>
      </c>
      <c r="O24" s="26">
        <v>0</v>
      </c>
      <c r="P24" s="26">
        <v>0</v>
      </c>
      <c r="Q24" s="26">
        <v>0</v>
      </c>
      <c r="R24" s="26">
        <v>0</v>
      </c>
      <c r="S24" s="26">
        <v>0</v>
      </c>
      <c r="T24" s="26">
        <v>0</v>
      </c>
      <c r="U24" s="26">
        <v>0</v>
      </c>
      <c r="V24" s="26">
        <v>0</v>
      </c>
      <c r="W24" s="26">
        <v>0</v>
      </c>
      <c r="X24" s="26">
        <v>0</v>
      </c>
      <c r="Y24" s="26">
        <v>0</v>
      </c>
    </row>
    <row r="25" spans="1:25" ht="16.8">
      <c r="A25" s="58"/>
      <c r="B25" s="58"/>
      <c r="C25" s="55" t="s">
        <v>96</v>
      </c>
      <c r="D25" s="56"/>
      <c r="E25" s="51" t="s">
        <v>220</v>
      </c>
      <c r="F25" s="52"/>
      <c r="G25" s="26">
        <v>1</v>
      </c>
      <c r="H25" s="26">
        <v>1</v>
      </c>
      <c r="I25" s="26">
        <v>1</v>
      </c>
      <c r="J25" s="26">
        <v>1</v>
      </c>
      <c r="K25" s="26">
        <v>1</v>
      </c>
      <c r="L25" s="28">
        <v>0</v>
      </c>
      <c r="M25" s="26">
        <v>0</v>
      </c>
      <c r="N25" s="26">
        <v>0</v>
      </c>
      <c r="O25" s="26">
        <v>0</v>
      </c>
      <c r="P25" s="26">
        <v>0</v>
      </c>
      <c r="Q25" s="26">
        <v>0</v>
      </c>
      <c r="R25" s="26">
        <v>0</v>
      </c>
      <c r="S25" s="26">
        <v>0</v>
      </c>
      <c r="T25" s="26">
        <v>0</v>
      </c>
      <c r="U25" s="26">
        <v>0</v>
      </c>
      <c r="V25" s="26">
        <v>0</v>
      </c>
      <c r="W25" s="26">
        <v>0</v>
      </c>
      <c r="X25" s="26">
        <v>0</v>
      </c>
      <c r="Y25" s="26">
        <v>0</v>
      </c>
    </row>
    <row r="26" spans="1:25" ht="16.8">
      <c r="A26" s="58"/>
      <c r="B26" s="58"/>
      <c r="C26" s="49" t="s">
        <v>97</v>
      </c>
      <c r="D26" s="50"/>
      <c r="E26" s="48" t="s">
        <v>220</v>
      </c>
      <c r="F26" s="47"/>
      <c r="G26" s="26">
        <v>1</v>
      </c>
      <c r="H26" s="26">
        <v>1</v>
      </c>
      <c r="I26" s="26">
        <v>1</v>
      </c>
      <c r="J26" s="26">
        <v>1</v>
      </c>
      <c r="K26" s="26">
        <v>1</v>
      </c>
      <c r="L26" s="26">
        <v>1</v>
      </c>
      <c r="M26" s="28">
        <v>0</v>
      </c>
      <c r="N26" s="26">
        <v>0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</row>
    <row r="27" spans="1:25" ht="16.8">
      <c r="A27" s="58"/>
      <c r="B27" s="58"/>
      <c r="C27" s="49" t="s">
        <v>98</v>
      </c>
      <c r="D27" s="50"/>
      <c r="E27" s="51" t="s">
        <v>220</v>
      </c>
      <c r="F27" s="50"/>
      <c r="G27" s="26">
        <v>2</v>
      </c>
      <c r="H27" s="26">
        <v>1</v>
      </c>
      <c r="I27" s="26">
        <v>1</v>
      </c>
      <c r="J27" s="26">
        <v>1</v>
      </c>
      <c r="K27" s="26">
        <v>1</v>
      </c>
      <c r="L27" s="26">
        <v>1</v>
      </c>
      <c r="M27" s="28">
        <v>0</v>
      </c>
      <c r="N27" s="26">
        <v>0</v>
      </c>
      <c r="O27" s="26">
        <v>0</v>
      </c>
      <c r="P27" s="26">
        <v>0</v>
      </c>
      <c r="Q27" s="26">
        <v>0</v>
      </c>
      <c r="R27" s="26">
        <v>0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</row>
    <row r="28" spans="1:25" ht="16.8">
      <c r="A28" s="58"/>
      <c r="B28" s="58"/>
      <c r="C28" s="55"/>
      <c r="D28" s="56"/>
      <c r="E28" s="66"/>
      <c r="F28" s="52"/>
      <c r="G28" s="26"/>
      <c r="H28" s="26"/>
      <c r="I28" s="26"/>
      <c r="J28" s="26"/>
      <c r="K28" s="26"/>
      <c r="L28" s="26"/>
      <c r="M28" s="30">
        <v>1</v>
      </c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 spans="1:25" ht="16.8">
      <c r="A29" s="58"/>
      <c r="B29" s="58"/>
      <c r="C29" s="46" t="s">
        <v>99</v>
      </c>
      <c r="D29" s="46"/>
      <c r="E29" s="48" t="s">
        <v>222</v>
      </c>
      <c r="F29" s="47"/>
      <c r="G29" s="26">
        <v>10</v>
      </c>
      <c r="H29" s="26">
        <v>10</v>
      </c>
      <c r="I29" s="26">
        <v>10</v>
      </c>
      <c r="J29" s="26">
        <v>10</v>
      </c>
      <c r="K29" s="26">
        <v>10</v>
      </c>
      <c r="L29" s="26">
        <v>10</v>
      </c>
      <c r="M29" s="26">
        <v>10</v>
      </c>
      <c r="N29" s="28">
        <v>0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</row>
    <row r="30" spans="1:25" ht="16.8">
      <c r="A30" s="58"/>
      <c r="B30" s="58"/>
      <c r="C30" s="47"/>
      <c r="D30" s="47"/>
      <c r="E30" s="47"/>
      <c r="F30" s="47"/>
      <c r="G30" s="26"/>
      <c r="H30" s="26"/>
      <c r="I30" s="26"/>
      <c r="J30" s="26"/>
      <c r="K30" s="26"/>
      <c r="L30" s="26"/>
      <c r="M30" s="26"/>
      <c r="N30" s="33"/>
      <c r="O30" s="28">
        <v>0</v>
      </c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 spans="1:25" ht="16.8">
      <c r="A31" s="58"/>
      <c r="B31" s="58" t="s">
        <v>32</v>
      </c>
      <c r="C31" s="46" t="s">
        <v>100</v>
      </c>
      <c r="D31" s="46"/>
      <c r="E31" s="48" t="s">
        <v>216</v>
      </c>
      <c r="F31" s="47"/>
      <c r="G31" s="26">
        <v>1</v>
      </c>
      <c r="H31" s="26">
        <v>1</v>
      </c>
      <c r="I31" s="26">
        <v>1</v>
      </c>
      <c r="J31" s="26">
        <v>1</v>
      </c>
      <c r="K31" s="26">
        <v>1</v>
      </c>
      <c r="L31" s="26">
        <v>1</v>
      </c>
      <c r="M31" s="26">
        <v>1</v>
      </c>
      <c r="N31" s="26">
        <v>1</v>
      </c>
      <c r="O31" s="28">
        <v>0</v>
      </c>
      <c r="P31" s="26">
        <v>0</v>
      </c>
      <c r="Q31" s="26">
        <v>0</v>
      </c>
      <c r="R31" s="26">
        <v>0</v>
      </c>
      <c r="S31" s="26">
        <v>0</v>
      </c>
      <c r="T31" s="26">
        <v>0</v>
      </c>
      <c r="U31" s="26">
        <v>0</v>
      </c>
      <c r="V31" s="26">
        <v>0</v>
      </c>
      <c r="W31" s="26">
        <v>0</v>
      </c>
      <c r="X31" s="26">
        <v>0</v>
      </c>
      <c r="Y31" s="26">
        <v>0</v>
      </c>
    </row>
    <row r="32" spans="1:25" ht="16.8">
      <c r="A32" s="58"/>
      <c r="B32" s="58"/>
      <c r="C32" s="46" t="s">
        <v>101</v>
      </c>
      <c r="D32" s="46"/>
      <c r="E32" s="48" t="s">
        <v>216</v>
      </c>
      <c r="F32" s="47"/>
      <c r="G32" s="26">
        <v>1</v>
      </c>
      <c r="H32" s="26">
        <v>1</v>
      </c>
      <c r="I32" s="26">
        <v>1</v>
      </c>
      <c r="J32" s="26">
        <v>1</v>
      </c>
      <c r="K32" s="26">
        <v>1</v>
      </c>
      <c r="L32" s="26">
        <v>1</v>
      </c>
      <c r="M32" s="26">
        <v>1</v>
      </c>
      <c r="N32" s="26">
        <v>1</v>
      </c>
      <c r="O32" s="28">
        <v>0</v>
      </c>
      <c r="P32" s="26">
        <v>0</v>
      </c>
      <c r="Q32" s="26">
        <v>0</v>
      </c>
      <c r="R32" s="26">
        <v>0</v>
      </c>
      <c r="S32" s="26">
        <v>0</v>
      </c>
      <c r="T32" s="26">
        <v>0</v>
      </c>
      <c r="U32" s="26">
        <v>0</v>
      </c>
      <c r="V32" s="26">
        <v>0</v>
      </c>
      <c r="W32" s="26">
        <v>0</v>
      </c>
      <c r="X32" s="26">
        <v>0</v>
      </c>
      <c r="Y32" s="26">
        <v>0</v>
      </c>
    </row>
    <row r="33" spans="1:25" ht="16.8">
      <c r="A33" s="58"/>
      <c r="B33" s="58"/>
      <c r="C33" s="47"/>
      <c r="D33" s="47"/>
      <c r="E33" s="47"/>
      <c r="F33" s="47"/>
      <c r="G33" s="26"/>
      <c r="H33" s="26"/>
      <c r="I33" s="26"/>
      <c r="J33" s="26"/>
      <c r="K33" s="26"/>
      <c r="L33" s="26"/>
      <c r="M33" s="26"/>
      <c r="N33" s="26"/>
      <c r="O33" s="29">
        <v>1</v>
      </c>
      <c r="P33" s="36"/>
      <c r="Q33" s="26"/>
      <c r="R33" s="26"/>
      <c r="S33" s="26"/>
      <c r="T33" s="26"/>
      <c r="U33" s="26"/>
      <c r="V33" s="26"/>
      <c r="W33" s="26"/>
      <c r="X33" s="26"/>
      <c r="Y33" s="26"/>
    </row>
    <row r="34" spans="1:25" ht="16.8">
      <c r="A34" s="58"/>
      <c r="B34" s="58"/>
      <c r="C34" s="46" t="s">
        <v>102</v>
      </c>
      <c r="D34" s="46"/>
      <c r="E34" s="48" t="s">
        <v>216</v>
      </c>
      <c r="F34" s="47"/>
      <c r="G34" s="26">
        <v>1</v>
      </c>
      <c r="H34" s="26">
        <v>1</v>
      </c>
      <c r="I34" s="26">
        <v>1</v>
      </c>
      <c r="J34" s="26">
        <v>1</v>
      </c>
      <c r="K34" s="26">
        <v>1</v>
      </c>
      <c r="L34" s="26">
        <v>1</v>
      </c>
      <c r="M34" s="26">
        <v>1</v>
      </c>
      <c r="N34" s="26">
        <v>1</v>
      </c>
      <c r="O34" s="26">
        <v>1</v>
      </c>
      <c r="P34" s="28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</row>
    <row r="35" spans="1:25" ht="16.8">
      <c r="A35" s="58"/>
      <c r="B35" s="58"/>
      <c r="C35" s="46" t="s">
        <v>103</v>
      </c>
      <c r="D35" s="46"/>
      <c r="E35" s="48" t="s">
        <v>216</v>
      </c>
      <c r="F35" s="47"/>
      <c r="G35" s="26">
        <v>1</v>
      </c>
      <c r="H35" s="26">
        <v>1</v>
      </c>
      <c r="I35" s="26">
        <v>1</v>
      </c>
      <c r="J35" s="26">
        <v>1</v>
      </c>
      <c r="K35" s="26">
        <v>1</v>
      </c>
      <c r="L35" s="26">
        <v>1</v>
      </c>
      <c r="M35" s="26">
        <v>1</v>
      </c>
      <c r="N35" s="26">
        <v>1</v>
      </c>
      <c r="O35" s="26">
        <v>1</v>
      </c>
      <c r="P35" s="28">
        <v>0</v>
      </c>
      <c r="Q35" s="26">
        <v>0</v>
      </c>
      <c r="R35" s="26">
        <v>0</v>
      </c>
      <c r="S35" s="26">
        <v>0</v>
      </c>
      <c r="T35" s="26">
        <v>0</v>
      </c>
      <c r="U35" s="26">
        <v>0</v>
      </c>
      <c r="V35" s="26">
        <v>0</v>
      </c>
      <c r="W35" s="26">
        <v>0</v>
      </c>
      <c r="X35" s="26">
        <v>0</v>
      </c>
      <c r="Y35" s="26">
        <v>0</v>
      </c>
    </row>
    <row r="36" spans="1:25" ht="16.8">
      <c r="A36" s="58"/>
      <c r="B36" s="58"/>
      <c r="C36" s="46" t="s">
        <v>104</v>
      </c>
      <c r="D36" s="46"/>
      <c r="E36" s="48" t="s">
        <v>216</v>
      </c>
      <c r="F36" s="47"/>
      <c r="G36" s="26">
        <v>1</v>
      </c>
      <c r="H36" s="26">
        <v>1</v>
      </c>
      <c r="I36" s="26">
        <v>1</v>
      </c>
      <c r="J36" s="26">
        <v>1</v>
      </c>
      <c r="K36" s="26">
        <v>1</v>
      </c>
      <c r="L36" s="26">
        <v>1</v>
      </c>
      <c r="M36" s="26">
        <v>1</v>
      </c>
      <c r="N36" s="26">
        <v>1</v>
      </c>
      <c r="O36" s="26">
        <v>1</v>
      </c>
      <c r="P36" s="28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</row>
    <row r="37" spans="1:25" ht="16.8">
      <c r="A37" s="58"/>
      <c r="B37" s="58"/>
      <c r="C37" s="49" t="s">
        <v>105</v>
      </c>
      <c r="D37" s="50"/>
      <c r="E37" s="48" t="s">
        <v>216</v>
      </c>
      <c r="F37" s="47"/>
      <c r="G37" s="26">
        <v>1</v>
      </c>
      <c r="H37" s="26">
        <v>1</v>
      </c>
      <c r="I37" s="26">
        <v>1</v>
      </c>
      <c r="J37" s="26">
        <v>1</v>
      </c>
      <c r="K37" s="26">
        <v>1</v>
      </c>
      <c r="L37" s="26">
        <v>1</v>
      </c>
      <c r="M37" s="26">
        <v>1</v>
      </c>
      <c r="N37" s="26">
        <v>1</v>
      </c>
      <c r="O37" s="26">
        <v>1</v>
      </c>
      <c r="P37" s="28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</row>
    <row r="38" spans="1:25" ht="16.8">
      <c r="A38" s="58"/>
      <c r="B38" s="58"/>
      <c r="C38" s="46" t="s">
        <v>106</v>
      </c>
      <c r="D38" s="46"/>
      <c r="E38" s="48" t="s">
        <v>216</v>
      </c>
      <c r="F38" s="47"/>
      <c r="G38" s="26">
        <v>1</v>
      </c>
      <c r="H38" s="26">
        <v>1</v>
      </c>
      <c r="I38" s="26">
        <v>1</v>
      </c>
      <c r="J38" s="26">
        <v>1</v>
      </c>
      <c r="K38" s="26">
        <v>1</v>
      </c>
      <c r="L38" s="26">
        <v>1</v>
      </c>
      <c r="M38" s="26">
        <v>1</v>
      </c>
      <c r="N38" s="26">
        <v>1</v>
      </c>
      <c r="O38" s="26">
        <v>1</v>
      </c>
      <c r="P38" s="28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</row>
    <row r="39" spans="1:25" ht="16.8">
      <c r="A39" s="58"/>
      <c r="B39" s="58"/>
      <c r="C39" s="49" t="s">
        <v>107</v>
      </c>
      <c r="D39" s="50"/>
      <c r="E39" s="51" t="s">
        <v>216</v>
      </c>
      <c r="F39" s="52"/>
      <c r="G39" s="26">
        <v>1</v>
      </c>
      <c r="H39" s="26">
        <v>1</v>
      </c>
      <c r="I39" s="26">
        <v>1</v>
      </c>
      <c r="J39" s="26">
        <v>1</v>
      </c>
      <c r="K39" s="26">
        <v>1</v>
      </c>
      <c r="L39" s="26">
        <v>1</v>
      </c>
      <c r="M39" s="26">
        <v>1</v>
      </c>
      <c r="N39" s="26">
        <v>1</v>
      </c>
      <c r="O39" s="26">
        <v>1</v>
      </c>
      <c r="P39" s="28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</row>
    <row r="40" spans="1:25" ht="16.8">
      <c r="A40" s="58"/>
      <c r="B40" s="58"/>
      <c r="C40" s="46" t="s">
        <v>108</v>
      </c>
      <c r="D40" s="46"/>
      <c r="E40" s="48" t="s">
        <v>216</v>
      </c>
      <c r="F40" s="47"/>
      <c r="G40" s="26">
        <v>8</v>
      </c>
      <c r="H40" s="26">
        <v>10</v>
      </c>
      <c r="I40" s="26">
        <v>10</v>
      </c>
      <c r="J40" s="26">
        <v>10</v>
      </c>
      <c r="K40" s="26">
        <v>10</v>
      </c>
      <c r="L40" s="26">
        <v>10</v>
      </c>
      <c r="M40" s="26">
        <v>10</v>
      </c>
      <c r="N40" s="26">
        <v>10</v>
      </c>
      <c r="O40" s="26">
        <v>10</v>
      </c>
      <c r="P40" s="26">
        <v>8</v>
      </c>
      <c r="Q40" s="28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</row>
    <row r="41" spans="1:25" ht="16.8">
      <c r="A41" s="58"/>
      <c r="B41" s="58"/>
      <c r="C41" s="47"/>
      <c r="D41" s="47"/>
      <c r="E41" s="47"/>
      <c r="F41" s="47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42">
        <v>2</v>
      </c>
      <c r="R41" s="36">
        <v>0</v>
      </c>
      <c r="S41" s="26"/>
      <c r="T41" s="26"/>
      <c r="U41" s="26"/>
      <c r="V41" s="26"/>
      <c r="W41" s="26"/>
      <c r="X41" s="26"/>
      <c r="Y41" s="26"/>
    </row>
    <row r="42" spans="1:25" ht="16.8">
      <c r="A42" s="58"/>
      <c r="B42" s="58" t="s">
        <v>35</v>
      </c>
      <c r="C42" s="46" t="s">
        <v>109</v>
      </c>
      <c r="D42" s="46"/>
      <c r="E42" s="48" t="s">
        <v>223</v>
      </c>
      <c r="F42" s="47"/>
      <c r="G42" s="26">
        <v>1</v>
      </c>
      <c r="H42" s="26">
        <v>2</v>
      </c>
      <c r="I42" s="26">
        <v>2</v>
      </c>
      <c r="J42" s="26">
        <v>2</v>
      </c>
      <c r="K42" s="26">
        <v>2</v>
      </c>
      <c r="L42" s="26">
        <v>2</v>
      </c>
      <c r="M42" s="26">
        <v>2</v>
      </c>
      <c r="N42" s="26">
        <v>2</v>
      </c>
      <c r="O42" s="26">
        <v>2</v>
      </c>
      <c r="P42" s="26">
        <v>2</v>
      </c>
      <c r="Q42" s="26">
        <v>1</v>
      </c>
      <c r="R42" s="28">
        <v>0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6">
        <v>0</v>
      </c>
    </row>
    <row r="43" spans="1:25" ht="16.8">
      <c r="A43" s="58"/>
      <c r="B43" s="58"/>
      <c r="C43" s="47"/>
      <c r="D43" s="47"/>
      <c r="E43" s="47"/>
      <c r="F43" s="47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42">
        <v>1</v>
      </c>
      <c r="S43" s="36"/>
      <c r="T43" s="26"/>
      <c r="U43" s="26"/>
      <c r="V43" s="26"/>
      <c r="W43" s="26"/>
      <c r="X43" s="26"/>
      <c r="Y43" s="26"/>
    </row>
    <row r="44" spans="1:25" ht="16.8">
      <c r="A44" s="58"/>
      <c r="B44" s="58"/>
      <c r="C44" s="46" t="s">
        <v>110</v>
      </c>
      <c r="D44" s="46"/>
      <c r="E44" s="48" t="s">
        <v>224</v>
      </c>
      <c r="F44" s="47"/>
      <c r="G44" s="26">
        <v>2</v>
      </c>
      <c r="H44" s="26">
        <v>2</v>
      </c>
      <c r="I44" s="26">
        <v>2</v>
      </c>
      <c r="J44" s="26">
        <v>2</v>
      </c>
      <c r="K44" s="26">
        <v>2</v>
      </c>
      <c r="L44" s="26">
        <v>2</v>
      </c>
      <c r="M44" s="26">
        <v>2</v>
      </c>
      <c r="N44" s="26">
        <v>2</v>
      </c>
      <c r="O44" s="26">
        <v>2</v>
      </c>
      <c r="P44" s="26">
        <v>2</v>
      </c>
      <c r="Q44" s="26">
        <v>2</v>
      </c>
      <c r="R44" s="26">
        <v>2</v>
      </c>
      <c r="S44" s="28">
        <v>0</v>
      </c>
      <c r="T44" s="26">
        <v>0</v>
      </c>
      <c r="U44" s="26">
        <v>0</v>
      </c>
      <c r="V44" s="26">
        <v>0</v>
      </c>
      <c r="W44" s="26">
        <v>0</v>
      </c>
      <c r="X44" s="26">
        <v>0</v>
      </c>
      <c r="Y44" s="26">
        <v>0</v>
      </c>
    </row>
    <row r="45" spans="1:25" ht="16.8">
      <c r="A45" s="58"/>
      <c r="B45" s="58"/>
      <c r="C45" s="46" t="s">
        <v>111</v>
      </c>
      <c r="D45" s="46"/>
      <c r="E45" s="48" t="s">
        <v>223</v>
      </c>
      <c r="F45" s="47"/>
      <c r="G45" s="26">
        <v>2</v>
      </c>
      <c r="H45" s="26">
        <v>2</v>
      </c>
      <c r="I45" s="26">
        <v>2</v>
      </c>
      <c r="J45" s="26">
        <v>2</v>
      </c>
      <c r="K45" s="26">
        <v>2</v>
      </c>
      <c r="L45" s="26">
        <v>2</v>
      </c>
      <c r="M45" s="26">
        <v>2</v>
      </c>
      <c r="N45" s="26">
        <v>2</v>
      </c>
      <c r="O45" s="26">
        <v>2</v>
      </c>
      <c r="P45" s="26">
        <v>2</v>
      </c>
      <c r="Q45" s="26">
        <v>2</v>
      </c>
      <c r="R45" s="26">
        <v>2</v>
      </c>
      <c r="S45" s="28">
        <v>0</v>
      </c>
      <c r="T45" s="26">
        <v>0</v>
      </c>
      <c r="U45" s="26">
        <v>0</v>
      </c>
      <c r="V45" s="26">
        <v>0</v>
      </c>
      <c r="W45" s="26">
        <v>0</v>
      </c>
      <c r="X45" s="26">
        <v>0</v>
      </c>
      <c r="Y45" s="26">
        <v>0</v>
      </c>
    </row>
    <row r="46" spans="1:25" ht="16.8">
      <c r="A46" s="58"/>
      <c r="B46" s="58"/>
      <c r="C46" s="46" t="s">
        <v>112</v>
      </c>
      <c r="D46" s="46"/>
      <c r="E46" s="48" t="s">
        <v>224</v>
      </c>
      <c r="F46" s="47"/>
      <c r="G46" s="26">
        <v>3</v>
      </c>
      <c r="H46" s="26">
        <v>4</v>
      </c>
      <c r="I46" s="26">
        <v>4</v>
      </c>
      <c r="J46" s="26">
        <v>4</v>
      </c>
      <c r="K46" s="26">
        <v>4</v>
      </c>
      <c r="L46" s="26">
        <v>4</v>
      </c>
      <c r="M46" s="26">
        <v>4</v>
      </c>
      <c r="N46" s="26">
        <v>4</v>
      </c>
      <c r="O46" s="26">
        <v>4</v>
      </c>
      <c r="P46" s="26">
        <v>4</v>
      </c>
      <c r="Q46" s="26">
        <v>4</v>
      </c>
      <c r="R46" s="26">
        <v>3</v>
      </c>
      <c r="S46" s="28">
        <v>0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</row>
    <row r="47" spans="1:25" ht="16.8">
      <c r="A47" s="58"/>
      <c r="B47" s="58"/>
      <c r="C47" s="67"/>
      <c r="D47" s="67"/>
      <c r="E47" s="47"/>
      <c r="F47" s="47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42">
        <v>1</v>
      </c>
      <c r="T47" s="26"/>
      <c r="U47" s="26"/>
      <c r="V47" s="26"/>
      <c r="W47" s="26"/>
      <c r="X47" s="26"/>
      <c r="Y47" s="26"/>
    </row>
    <row r="48" spans="1:25" ht="16.8">
      <c r="A48" s="58"/>
      <c r="B48" s="58"/>
      <c r="C48" s="46" t="s">
        <v>113</v>
      </c>
      <c r="D48" s="46"/>
      <c r="E48" s="48" t="s">
        <v>223</v>
      </c>
      <c r="F48" s="47"/>
      <c r="G48" s="26">
        <v>2</v>
      </c>
      <c r="H48" s="26">
        <v>2</v>
      </c>
      <c r="I48" s="26">
        <v>2</v>
      </c>
      <c r="J48" s="26">
        <v>2</v>
      </c>
      <c r="K48" s="26">
        <v>2</v>
      </c>
      <c r="L48" s="26">
        <v>2</v>
      </c>
      <c r="M48" s="26">
        <v>2</v>
      </c>
      <c r="N48" s="26">
        <v>2</v>
      </c>
      <c r="O48" s="26">
        <v>2</v>
      </c>
      <c r="P48" s="26">
        <v>2</v>
      </c>
      <c r="Q48" s="26">
        <v>2</v>
      </c>
      <c r="R48" s="26">
        <v>2</v>
      </c>
      <c r="S48" s="28">
        <v>0</v>
      </c>
      <c r="T48" s="26">
        <v>0</v>
      </c>
      <c r="U48" s="26">
        <v>0</v>
      </c>
      <c r="V48" s="26">
        <v>0</v>
      </c>
      <c r="W48" s="26">
        <v>0</v>
      </c>
      <c r="X48" s="26">
        <v>0</v>
      </c>
      <c r="Y48" s="26">
        <v>0</v>
      </c>
    </row>
    <row r="49" spans="1:25" ht="16.8">
      <c r="A49" s="58"/>
      <c r="B49" s="58"/>
      <c r="C49" s="46" t="s">
        <v>114</v>
      </c>
      <c r="D49" s="46"/>
      <c r="E49" s="48" t="s">
        <v>224</v>
      </c>
      <c r="F49" s="47"/>
      <c r="G49" s="26">
        <v>2</v>
      </c>
      <c r="H49" s="26">
        <v>2</v>
      </c>
      <c r="I49" s="26">
        <v>2</v>
      </c>
      <c r="J49" s="26">
        <v>2</v>
      </c>
      <c r="K49" s="26">
        <v>2</v>
      </c>
      <c r="L49" s="26">
        <v>2</v>
      </c>
      <c r="M49" s="26">
        <v>2</v>
      </c>
      <c r="N49" s="26">
        <v>2</v>
      </c>
      <c r="O49" s="26">
        <v>2</v>
      </c>
      <c r="P49" s="26">
        <v>2</v>
      </c>
      <c r="Q49" s="26">
        <v>2</v>
      </c>
      <c r="R49" s="26">
        <v>2</v>
      </c>
      <c r="S49" s="28">
        <v>0</v>
      </c>
      <c r="T49" s="26">
        <v>0</v>
      </c>
      <c r="U49" s="26">
        <v>0</v>
      </c>
      <c r="V49" s="26">
        <v>0</v>
      </c>
      <c r="W49" s="26">
        <v>0</v>
      </c>
      <c r="X49" s="26">
        <v>0</v>
      </c>
      <c r="Y49" s="26">
        <v>0</v>
      </c>
    </row>
    <row r="50" spans="1:25" ht="16.8">
      <c r="A50" s="58"/>
      <c r="B50" s="58"/>
      <c r="C50" s="46" t="s">
        <v>115</v>
      </c>
      <c r="D50" s="46"/>
      <c r="E50" s="48" t="s">
        <v>223</v>
      </c>
      <c r="F50" s="47"/>
      <c r="G50" s="26">
        <v>2</v>
      </c>
      <c r="H50" s="26">
        <v>2</v>
      </c>
      <c r="I50" s="26">
        <v>2</v>
      </c>
      <c r="J50" s="26">
        <v>2</v>
      </c>
      <c r="K50" s="26">
        <v>2</v>
      </c>
      <c r="L50" s="26">
        <v>2</v>
      </c>
      <c r="M50" s="26">
        <v>2</v>
      </c>
      <c r="N50" s="26">
        <v>2</v>
      </c>
      <c r="O50" s="26">
        <v>2</v>
      </c>
      <c r="P50" s="26">
        <v>2</v>
      </c>
      <c r="Q50" s="26">
        <v>2</v>
      </c>
      <c r="R50" s="26">
        <v>2</v>
      </c>
      <c r="S50" s="28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</row>
    <row r="51" spans="1:25" ht="16.8">
      <c r="A51" s="58"/>
      <c r="B51" s="58"/>
      <c r="C51" s="46" t="s">
        <v>116</v>
      </c>
      <c r="D51" s="46"/>
      <c r="E51" s="48" t="s">
        <v>224</v>
      </c>
      <c r="F51" s="47"/>
      <c r="G51" s="26">
        <v>2</v>
      </c>
      <c r="H51" s="26">
        <v>2</v>
      </c>
      <c r="I51" s="26">
        <v>2</v>
      </c>
      <c r="J51" s="26">
        <v>2</v>
      </c>
      <c r="K51" s="26">
        <v>2</v>
      </c>
      <c r="L51" s="26">
        <v>2</v>
      </c>
      <c r="M51" s="26">
        <v>2</v>
      </c>
      <c r="N51" s="26">
        <v>2</v>
      </c>
      <c r="O51" s="26">
        <v>2</v>
      </c>
      <c r="P51" s="26">
        <v>2</v>
      </c>
      <c r="Q51" s="26">
        <v>2</v>
      </c>
      <c r="R51" s="26">
        <v>2</v>
      </c>
      <c r="S51" s="28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</row>
    <row r="52" spans="1:25" ht="16.8">
      <c r="A52" s="58"/>
      <c r="B52" s="58"/>
      <c r="C52" s="46" t="s">
        <v>117</v>
      </c>
      <c r="D52" s="46"/>
      <c r="E52" s="48" t="s">
        <v>223</v>
      </c>
      <c r="F52" s="47"/>
      <c r="G52" s="26">
        <v>3</v>
      </c>
      <c r="H52" s="26">
        <v>4</v>
      </c>
      <c r="I52" s="26">
        <v>4</v>
      </c>
      <c r="J52" s="26">
        <v>4</v>
      </c>
      <c r="K52" s="26">
        <v>4</v>
      </c>
      <c r="L52" s="26">
        <v>4</v>
      </c>
      <c r="M52" s="26">
        <v>4</v>
      </c>
      <c r="N52" s="26">
        <v>4</v>
      </c>
      <c r="O52" s="26">
        <v>4</v>
      </c>
      <c r="P52" s="26">
        <v>4</v>
      </c>
      <c r="Q52" s="26">
        <v>4</v>
      </c>
      <c r="R52" s="26">
        <v>3</v>
      </c>
      <c r="S52" s="28">
        <v>0</v>
      </c>
      <c r="T52" s="26">
        <v>0</v>
      </c>
      <c r="U52" s="26">
        <v>0</v>
      </c>
      <c r="V52" s="26">
        <v>0</v>
      </c>
      <c r="W52" s="26">
        <v>0</v>
      </c>
      <c r="X52" s="26">
        <v>0</v>
      </c>
      <c r="Y52" s="26">
        <v>0</v>
      </c>
    </row>
    <row r="53" spans="1:25" ht="16.8">
      <c r="A53" s="58"/>
      <c r="B53" s="58"/>
      <c r="C53" s="47"/>
      <c r="D53" s="47"/>
      <c r="E53" s="47"/>
      <c r="F53" s="47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9">
        <v>1</v>
      </c>
      <c r="T53" s="26"/>
      <c r="U53" s="33"/>
      <c r="V53" s="26"/>
      <c r="W53" s="26"/>
      <c r="X53" s="26"/>
      <c r="Y53" s="26"/>
    </row>
    <row r="54" spans="1:25" ht="16.8">
      <c r="A54" s="58"/>
      <c r="B54" s="58"/>
      <c r="C54" s="46" t="s">
        <v>118</v>
      </c>
      <c r="D54" s="46"/>
      <c r="E54" s="48" t="s">
        <v>224</v>
      </c>
      <c r="F54" s="47"/>
      <c r="G54" s="26">
        <v>4</v>
      </c>
      <c r="H54" s="26">
        <v>4</v>
      </c>
      <c r="I54" s="26">
        <v>4</v>
      </c>
      <c r="J54" s="26">
        <v>4</v>
      </c>
      <c r="K54" s="26">
        <v>4</v>
      </c>
      <c r="L54" s="26">
        <v>4</v>
      </c>
      <c r="M54" s="26">
        <v>4</v>
      </c>
      <c r="N54" s="26">
        <v>4</v>
      </c>
      <c r="O54" s="26">
        <v>4</v>
      </c>
      <c r="P54" s="26">
        <v>4</v>
      </c>
      <c r="Q54" s="26">
        <v>4</v>
      </c>
      <c r="R54" s="26">
        <v>4</v>
      </c>
      <c r="S54" s="26">
        <v>4</v>
      </c>
      <c r="T54" s="28">
        <v>0</v>
      </c>
      <c r="U54" s="26">
        <v>0</v>
      </c>
      <c r="V54" s="26">
        <v>0</v>
      </c>
      <c r="W54" s="26">
        <v>0</v>
      </c>
      <c r="X54" s="26">
        <v>0</v>
      </c>
      <c r="Y54" s="26">
        <v>0</v>
      </c>
    </row>
    <row r="55" spans="1:25" ht="16.8">
      <c r="A55" s="58"/>
      <c r="B55" s="58"/>
      <c r="C55" s="46" t="s">
        <v>119</v>
      </c>
      <c r="D55" s="46"/>
      <c r="E55" s="48" t="s">
        <v>223</v>
      </c>
      <c r="F55" s="47"/>
      <c r="G55" s="26">
        <v>2</v>
      </c>
      <c r="H55" s="26">
        <v>2</v>
      </c>
      <c r="I55" s="26">
        <v>2</v>
      </c>
      <c r="J55" s="26">
        <v>2</v>
      </c>
      <c r="K55" s="26">
        <v>2</v>
      </c>
      <c r="L55" s="26">
        <v>2</v>
      </c>
      <c r="M55" s="26">
        <v>2</v>
      </c>
      <c r="N55" s="26">
        <v>2</v>
      </c>
      <c r="O55" s="26">
        <v>2</v>
      </c>
      <c r="P55" s="26">
        <v>2</v>
      </c>
      <c r="Q55" s="26">
        <v>2</v>
      </c>
      <c r="R55" s="26">
        <v>2</v>
      </c>
      <c r="S55" s="26">
        <v>2</v>
      </c>
      <c r="T55" s="28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</row>
    <row r="56" spans="1:25" ht="16.8">
      <c r="A56" s="58"/>
      <c r="B56" s="58"/>
      <c r="C56" s="46" t="s">
        <v>120</v>
      </c>
      <c r="D56" s="46"/>
      <c r="E56" s="48" t="s">
        <v>224</v>
      </c>
      <c r="F56" s="47"/>
      <c r="G56" s="26">
        <v>3</v>
      </c>
      <c r="H56" s="26">
        <v>3</v>
      </c>
      <c r="I56" s="26">
        <v>3</v>
      </c>
      <c r="J56" s="26">
        <v>3</v>
      </c>
      <c r="K56" s="26">
        <v>3</v>
      </c>
      <c r="L56" s="26">
        <v>3</v>
      </c>
      <c r="M56" s="26">
        <v>3</v>
      </c>
      <c r="N56" s="26">
        <v>3</v>
      </c>
      <c r="O56" s="26">
        <v>3</v>
      </c>
      <c r="P56" s="26">
        <v>3</v>
      </c>
      <c r="Q56" s="26">
        <v>3</v>
      </c>
      <c r="R56" s="26">
        <v>3</v>
      </c>
      <c r="S56" s="26">
        <v>3</v>
      </c>
      <c r="T56" s="28">
        <v>0</v>
      </c>
      <c r="U56" s="26">
        <v>0</v>
      </c>
      <c r="V56" s="26">
        <v>0</v>
      </c>
      <c r="W56" s="26">
        <v>0</v>
      </c>
      <c r="X56" s="26">
        <v>0</v>
      </c>
      <c r="Y56" s="26">
        <v>0</v>
      </c>
    </row>
    <row r="57" spans="1:25" ht="16.8">
      <c r="A57" s="58"/>
      <c r="B57" s="58"/>
      <c r="C57" s="46" t="s">
        <v>121</v>
      </c>
      <c r="D57" s="46"/>
      <c r="E57" s="68" t="s">
        <v>223</v>
      </c>
      <c r="F57" s="69"/>
      <c r="G57" s="26">
        <v>3</v>
      </c>
      <c r="H57" s="26">
        <v>3</v>
      </c>
      <c r="I57" s="26">
        <v>3</v>
      </c>
      <c r="J57" s="26">
        <v>3</v>
      </c>
      <c r="K57" s="26">
        <v>3</v>
      </c>
      <c r="L57" s="26">
        <v>3</v>
      </c>
      <c r="M57" s="26">
        <v>3</v>
      </c>
      <c r="N57" s="26">
        <v>3</v>
      </c>
      <c r="O57" s="26">
        <v>3</v>
      </c>
      <c r="P57" s="26">
        <v>3</v>
      </c>
      <c r="Q57" s="26">
        <v>3</v>
      </c>
      <c r="R57" s="26">
        <v>3</v>
      </c>
      <c r="S57" s="26">
        <v>3</v>
      </c>
      <c r="T57" s="28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</row>
    <row r="58" spans="1:25" ht="16.8">
      <c r="A58" s="58"/>
      <c r="B58" s="58"/>
      <c r="C58" s="46" t="s">
        <v>122</v>
      </c>
      <c r="D58" s="46"/>
      <c r="E58" s="48" t="s">
        <v>224</v>
      </c>
      <c r="F58" s="47"/>
      <c r="G58" s="26">
        <v>3</v>
      </c>
      <c r="H58" s="26">
        <v>4</v>
      </c>
      <c r="I58" s="26">
        <v>4</v>
      </c>
      <c r="J58" s="26">
        <v>4</v>
      </c>
      <c r="K58" s="26">
        <v>4</v>
      </c>
      <c r="L58" s="26">
        <v>4</v>
      </c>
      <c r="M58" s="26">
        <v>4</v>
      </c>
      <c r="N58" s="26">
        <v>4</v>
      </c>
      <c r="O58" s="26">
        <v>4</v>
      </c>
      <c r="P58" s="26">
        <v>4</v>
      </c>
      <c r="Q58" s="26">
        <v>4</v>
      </c>
      <c r="R58" s="26">
        <v>4</v>
      </c>
      <c r="S58" s="26">
        <v>4</v>
      </c>
      <c r="T58" s="28">
        <v>0</v>
      </c>
      <c r="U58" s="26">
        <v>0</v>
      </c>
      <c r="V58" s="26">
        <v>0</v>
      </c>
      <c r="W58" s="26">
        <v>0</v>
      </c>
      <c r="X58" s="26">
        <v>0</v>
      </c>
      <c r="Y58" s="26">
        <v>0</v>
      </c>
    </row>
    <row r="59" spans="1:25" ht="16.8">
      <c r="A59" s="58"/>
      <c r="B59" s="58"/>
      <c r="C59" s="46" t="s">
        <v>123</v>
      </c>
      <c r="D59" s="46"/>
      <c r="E59" s="48" t="s">
        <v>223</v>
      </c>
      <c r="F59" s="47"/>
      <c r="G59" s="26">
        <v>3</v>
      </c>
      <c r="H59" s="26">
        <v>3</v>
      </c>
      <c r="I59" s="26">
        <v>3</v>
      </c>
      <c r="J59" s="26">
        <v>3</v>
      </c>
      <c r="K59" s="26">
        <v>3</v>
      </c>
      <c r="L59" s="26">
        <v>3</v>
      </c>
      <c r="M59" s="26">
        <v>3</v>
      </c>
      <c r="N59" s="26">
        <v>3</v>
      </c>
      <c r="O59" s="26">
        <v>3</v>
      </c>
      <c r="P59" s="26">
        <v>3</v>
      </c>
      <c r="Q59" s="26">
        <v>3</v>
      </c>
      <c r="R59" s="26">
        <v>3</v>
      </c>
      <c r="S59" s="26">
        <v>3</v>
      </c>
      <c r="T59" s="28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</row>
    <row r="60" spans="1:25" ht="16.8">
      <c r="A60" s="58"/>
      <c r="B60" s="58"/>
      <c r="C60" s="46" t="s">
        <v>124</v>
      </c>
      <c r="D60" s="46"/>
      <c r="E60" s="48" t="s">
        <v>224</v>
      </c>
      <c r="F60" s="47"/>
      <c r="G60" s="26">
        <v>2</v>
      </c>
      <c r="H60" s="26">
        <v>3</v>
      </c>
      <c r="I60" s="26">
        <v>3</v>
      </c>
      <c r="J60" s="26">
        <v>3</v>
      </c>
      <c r="K60" s="26">
        <v>3</v>
      </c>
      <c r="L60" s="26">
        <v>3</v>
      </c>
      <c r="M60" s="26">
        <v>3</v>
      </c>
      <c r="N60" s="26">
        <v>3</v>
      </c>
      <c r="O60" s="26">
        <v>3</v>
      </c>
      <c r="P60" s="26">
        <v>3</v>
      </c>
      <c r="Q60" s="26">
        <v>3</v>
      </c>
      <c r="R60" s="26">
        <v>3</v>
      </c>
      <c r="S60" s="26">
        <v>2</v>
      </c>
      <c r="T60" s="28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</row>
    <row r="61" spans="1:25" ht="16.8">
      <c r="A61" s="58"/>
      <c r="B61" s="58"/>
      <c r="C61" s="46"/>
      <c r="D61" s="46"/>
      <c r="E61" s="47"/>
      <c r="F61" s="47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9">
        <v>1</v>
      </c>
      <c r="U61" s="26"/>
      <c r="V61" s="26"/>
      <c r="W61" s="26"/>
      <c r="X61" s="26"/>
      <c r="Y61" s="26"/>
    </row>
    <row r="62" spans="1:25" ht="16.8">
      <c r="A62" s="58"/>
      <c r="B62" s="58"/>
      <c r="C62" s="46" t="s">
        <v>52</v>
      </c>
      <c r="D62" s="46"/>
      <c r="E62" s="48" t="s">
        <v>225</v>
      </c>
      <c r="F62" s="47"/>
      <c r="G62" s="26">
        <v>10</v>
      </c>
      <c r="H62" s="26">
        <v>10</v>
      </c>
      <c r="I62" s="26">
        <v>10</v>
      </c>
      <c r="J62" s="26">
        <v>10</v>
      </c>
      <c r="K62" s="26">
        <v>10</v>
      </c>
      <c r="L62" s="26">
        <v>10</v>
      </c>
      <c r="M62" s="26">
        <v>10</v>
      </c>
      <c r="N62" s="26">
        <v>10</v>
      </c>
      <c r="O62" s="26">
        <v>10</v>
      </c>
      <c r="P62" s="26">
        <v>10</v>
      </c>
      <c r="Q62" s="26">
        <v>10</v>
      </c>
      <c r="R62" s="26">
        <v>10</v>
      </c>
      <c r="S62" s="26">
        <v>10</v>
      </c>
      <c r="T62" s="26">
        <v>10</v>
      </c>
      <c r="U62" s="28">
        <v>0</v>
      </c>
      <c r="V62" s="26">
        <v>0</v>
      </c>
      <c r="W62" s="26">
        <v>0</v>
      </c>
      <c r="X62" s="26">
        <v>0</v>
      </c>
      <c r="Y62" s="26">
        <v>0</v>
      </c>
    </row>
    <row r="63" spans="1:25" ht="16.8">
      <c r="A63" s="58"/>
      <c r="B63" s="58" t="s">
        <v>53</v>
      </c>
      <c r="C63" s="46" t="s">
        <v>125</v>
      </c>
      <c r="D63" s="46"/>
      <c r="E63" s="48" t="s">
        <v>216</v>
      </c>
      <c r="F63" s="47"/>
      <c r="G63" s="26">
        <v>1</v>
      </c>
      <c r="H63" s="26">
        <v>1</v>
      </c>
      <c r="I63" s="26">
        <v>1</v>
      </c>
      <c r="J63" s="26">
        <v>1</v>
      </c>
      <c r="K63" s="26">
        <v>1</v>
      </c>
      <c r="L63" s="26">
        <v>1</v>
      </c>
      <c r="M63" s="26">
        <v>1</v>
      </c>
      <c r="N63" s="26">
        <v>1</v>
      </c>
      <c r="O63" s="26">
        <v>1</v>
      </c>
      <c r="P63" s="26">
        <v>1</v>
      </c>
      <c r="Q63" s="26">
        <v>1</v>
      </c>
      <c r="R63" s="26">
        <v>1</v>
      </c>
      <c r="S63" s="26">
        <v>1</v>
      </c>
      <c r="T63" s="26">
        <v>1</v>
      </c>
      <c r="U63" s="28">
        <v>0</v>
      </c>
      <c r="V63" s="26">
        <v>0</v>
      </c>
      <c r="W63" s="26">
        <v>0</v>
      </c>
      <c r="X63" s="26">
        <v>0</v>
      </c>
      <c r="Y63" s="26">
        <v>0</v>
      </c>
    </row>
    <row r="64" spans="1:25" ht="16.8">
      <c r="A64" s="58"/>
      <c r="B64" s="58"/>
      <c r="C64" s="46" t="s">
        <v>126</v>
      </c>
      <c r="D64" s="46"/>
      <c r="E64" s="48" t="s">
        <v>216</v>
      </c>
      <c r="F64" s="47"/>
      <c r="G64" s="26">
        <v>1</v>
      </c>
      <c r="H64" s="26">
        <v>1</v>
      </c>
      <c r="I64" s="26">
        <v>1</v>
      </c>
      <c r="J64" s="26">
        <v>1</v>
      </c>
      <c r="K64" s="26">
        <v>1</v>
      </c>
      <c r="L64" s="26">
        <v>1</v>
      </c>
      <c r="M64" s="26">
        <v>1</v>
      </c>
      <c r="N64" s="26">
        <v>1</v>
      </c>
      <c r="O64" s="26">
        <v>1</v>
      </c>
      <c r="P64" s="26">
        <v>1</v>
      </c>
      <c r="Q64" s="26">
        <v>1</v>
      </c>
      <c r="R64" s="26">
        <v>1</v>
      </c>
      <c r="S64" s="26">
        <v>1</v>
      </c>
      <c r="T64" s="26">
        <v>1</v>
      </c>
      <c r="U64" s="28">
        <v>0</v>
      </c>
      <c r="V64" s="26">
        <v>0</v>
      </c>
      <c r="W64" s="26">
        <v>0</v>
      </c>
      <c r="X64" s="26">
        <v>0</v>
      </c>
      <c r="Y64" s="26">
        <v>0</v>
      </c>
    </row>
    <row r="65" spans="1:25" ht="16.8">
      <c r="A65" s="58"/>
      <c r="B65" s="58"/>
      <c r="C65" s="55" t="s">
        <v>127</v>
      </c>
      <c r="D65" s="56"/>
      <c r="E65" s="48" t="s">
        <v>216</v>
      </c>
      <c r="F65" s="47"/>
      <c r="G65" s="26">
        <v>1</v>
      </c>
      <c r="H65" s="26">
        <v>1</v>
      </c>
      <c r="I65" s="26">
        <v>1</v>
      </c>
      <c r="J65" s="26">
        <v>1</v>
      </c>
      <c r="K65" s="26">
        <v>1</v>
      </c>
      <c r="L65" s="26">
        <v>1</v>
      </c>
      <c r="M65" s="26">
        <v>1</v>
      </c>
      <c r="N65" s="26">
        <v>1</v>
      </c>
      <c r="O65" s="26">
        <v>1</v>
      </c>
      <c r="P65" s="26">
        <v>1</v>
      </c>
      <c r="Q65" s="26">
        <v>1</v>
      </c>
      <c r="R65" s="26">
        <v>1</v>
      </c>
      <c r="S65" s="26">
        <v>1</v>
      </c>
      <c r="T65" s="26">
        <v>1</v>
      </c>
      <c r="U65" s="28">
        <v>0</v>
      </c>
      <c r="V65" s="26">
        <v>0</v>
      </c>
      <c r="W65" s="26">
        <v>0</v>
      </c>
      <c r="X65" s="26">
        <v>0</v>
      </c>
      <c r="Y65" s="26">
        <v>0</v>
      </c>
    </row>
    <row r="66" spans="1:25" ht="16.8">
      <c r="A66" s="58"/>
      <c r="B66" s="58"/>
      <c r="C66" s="46" t="s">
        <v>128</v>
      </c>
      <c r="D66" s="46"/>
      <c r="E66" s="48" t="s">
        <v>216</v>
      </c>
      <c r="F66" s="47"/>
      <c r="G66" s="26">
        <v>1</v>
      </c>
      <c r="H66" s="26">
        <v>1</v>
      </c>
      <c r="I66" s="26">
        <v>1</v>
      </c>
      <c r="J66" s="26">
        <v>1</v>
      </c>
      <c r="K66" s="26">
        <v>1</v>
      </c>
      <c r="L66" s="26">
        <v>1</v>
      </c>
      <c r="M66" s="26">
        <v>1</v>
      </c>
      <c r="N66" s="26">
        <v>1</v>
      </c>
      <c r="O66" s="26">
        <v>1</v>
      </c>
      <c r="P66" s="26">
        <v>1</v>
      </c>
      <c r="Q66" s="26">
        <v>1</v>
      </c>
      <c r="R66" s="26">
        <v>1</v>
      </c>
      <c r="S66" s="26">
        <v>1</v>
      </c>
      <c r="T66" s="26">
        <v>1</v>
      </c>
      <c r="U66" s="28">
        <v>0</v>
      </c>
      <c r="V66" s="26">
        <v>0</v>
      </c>
      <c r="W66" s="26">
        <v>0</v>
      </c>
      <c r="X66" s="26">
        <v>0</v>
      </c>
      <c r="Y66" s="26">
        <v>0</v>
      </c>
    </row>
    <row r="67" spans="1:25" ht="16.8">
      <c r="A67" s="58"/>
      <c r="B67" s="58"/>
      <c r="C67" s="46" t="s">
        <v>129</v>
      </c>
      <c r="D67" s="46"/>
      <c r="E67" s="48" t="s">
        <v>216</v>
      </c>
      <c r="F67" s="47"/>
      <c r="G67" s="26">
        <v>1</v>
      </c>
      <c r="H67" s="26">
        <v>1</v>
      </c>
      <c r="I67" s="26">
        <v>1</v>
      </c>
      <c r="J67" s="26">
        <v>1</v>
      </c>
      <c r="K67" s="26">
        <v>1</v>
      </c>
      <c r="L67" s="26">
        <v>1</v>
      </c>
      <c r="M67" s="26">
        <v>1</v>
      </c>
      <c r="N67" s="26">
        <v>1</v>
      </c>
      <c r="O67" s="26">
        <v>1</v>
      </c>
      <c r="P67" s="26">
        <v>1</v>
      </c>
      <c r="Q67" s="26">
        <v>1</v>
      </c>
      <c r="R67" s="26">
        <v>1</v>
      </c>
      <c r="S67" s="26">
        <v>1</v>
      </c>
      <c r="T67" s="26">
        <v>1</v>
      </c>
      <c r="U67" s="28">
        <v>0</v>
      </c>
      <c r="V67" s="26">
        <v>0</v>
      </c>
      <c r="W67" s="26">
        <v>0</v>
      </c>
      <c r="X67" s="26">
        <v>0</v>
      </c>
      <c r="Y67" s="26"/>
    </row>
    <row r="68" spans="1:25" ht="16.8">
      <c r="A68" s="58"/>
      <c r="B68" s="58"/>
      <c r="C68" s="46" t="s">
        <v>130</v>
      </c>
      <c r="D68" s="46"/>
      <c r="E68" s="48" t="s">
        <v>216</v>
      </c>
      <c r="F68" s="47"/>
      <c r="G68" s="26">
        <v>1</v>
      </c>
      <c r="H68" s="26">
        <v>1</v>
      </c>
      <c r="I68" s="26">
        <v>1</v>
      </c>
      <c r="J68" s="26">
        <v>1</v>
      </c>
      <c r="K68" s="26">
        <v>1</v>
      </c>
      <c r="L68" s="26">
        <v>1</v>
      </c>
      <c r="M68" s="26">
        <v>1</v>
      </c>
      <c r="N68" s="26">
        <v>1</v>
      </c>
      <c r="O68" s="26">
        <v>1</v>
      </c>
      <c r="P68" s="26">
        <v>1</v>
      </c>
      <c r="Q68" s="26">
        <v>1</v>
      </c>
      <c r="R68" s="26">
        <v>1</v>
      </c>
      <c r="S68" s="26">
        <v>1</v>
      </c>
      <c r="T68" s="26">
        <v>1</v>
      </c>
      <c r="U68" s="28">
        <v>0</v>
      </c>
      <c r="V68" s="26">
        <v>0</v>
      </c>
      <c r="W68" s="26">
        <v>0</v>
      </c>
      <c r="X68" s="26">
        <v>0</v>
      </c>
      <c r="Y68" s="26">
        <v>0</v>
      </c>
    </row>
    <row r="69" spans="1:25" ht="16.8">
      <c r="A69" s="58"/>
      <c r="B69" s="58"/>
      <c r="C69" s="46" t="s">
        <v>131</v>
      </c>
      <c r="D69" s="46"/>
      <c r="E69" s="48" t="s">
        <v>216</v>
      </c>
      <c r="F69" s="47"/>
      <c r="G69" s="26">
        <v>1</v>
      </c>
      <c r="H69" s="26">
        <v>1</v>
      </c>
      <c r="I69" s="26">
        <v>1</v>
      </c>
      <c r="J69" s="26">
        <v>1</v>
      </c>
      <c r="K69" s="26">
        <v>1</v>
      </c>
      <c r="L69" s="26">
        <v>1</v>
      </c>
      <c r="M69" s="26">
        <v>1</v>
      </c>
      <c r="N69" s="26">
        <v>1</v>
      </c>
      <c r="O69" s="26">
        <v>1</v>
      </c>
      <c r="P69" s="26">
        <v>1</v>
      </c>
      <c r="Q69" s="26">
        <v>1</v>
      </c>
      <c r="R69" s="26">
        <v>1</v>
      </c>
      <c r="S69" s="26">
        <v>1</v>
      </c>
      <c r="T69" s="26">
        <v>1</v>
      </c>
      <c r="U69" s="28">
        <v>0</v>
      </c>
      <c r="V69" s="26">
        <v>0</v>
      </c>
      <c r="W69" s="26">
        <v>0</v>
      </c>
      <c r="X69" s="26">
        <v>0</v>
      </c>
      <c r="Y69" s="26">
        <v>0</v>
      </c>
    </row>
    <row r="70" spans="1:25" ht="16.8">
      <c r="A70" s="58"/>
      <c r="B70" s="58"/>
      <c r="C70" s="46" t="s">
        <v>132</v>
      </c>
      <c r="D70" s="46"/>
      <c r="E70" s="48" t="s">
        <v>216</v>
      </c>
      <c r="F70" s="47"/>
      <c r="G70" s="26">
        <v>1</v>
      </c>
      <c r="H70" s="26">
        <v>1</v>
      </c>
      <c r="I70" s="26">
        <v>1</v>
      </c>
      <c r="J70" s="26">
        <v>1</v>
      </c>
      <c r="K70" s="26">
        <v>1</v>
      </c>
      <c r="L70" s="26">
        <v>1</v>
      </c>
      <c r="M70" s="26">
        <v>1</v>
      </c>
      <c r="N70" s="26">
        <v>1</v>
      </c>
      <c r="O70" s="26">
        <v>1</v>
      </c>
      <c r="P70" s="26">
        <v>1</v>
      </c>
      <c r="Q70" s="26">
        <v>1</v>
      </c>
      <c r="R70" s="26">
        <v>1</v>
      </c>
      <c r="S70" s="26">
        <v>1</v>
      </c>
      <c r="T70" s="26">
        <v>1</v>
      </c>
      <c r="U70" s="26">
        <v>1</v>
      </c>
      <c r="V70" s="28">
        <v>0</v>
      </c>
      <c r="W70" s="26">
        <v>0</v>
      </c>
      <c r="X70" s="26">
        <v>0</v>
      </c>
      <c r="Y70" s="26">
        <v>0</v>
      </c>
    </row>
    <row r="71" spans="1:25" ht="16.8">
      <c r="A71" s="58"/>
      <c r="B71" s="58" t="s">
        <v>62</v>
      </c>
      <c r="C71" s="46" t="s">
        <v>133</v>
      </c>
      <c r="D71" s="46"/>
      <c r="E71" s="48" t="s">
        <v>226</v>
      </c>
      <c r="F71" s="47"/>
      <c r="G71" s="26">
        <v>1</v>
      </c>
      <c r="H71" s="26">
        <v>1</v>
      </c>
      <c r="I71" s="26">
        <v>1</v>
      </c>
      <c r="J71" s="26">
        <v>1</v>
      </c>
      <c r="K71" s="26">
        <v>1</v>
      </c>
      <c r="L71" s="26">
        <v>1</v>
      </c>
      <c r="M71" s="26">
        <v>1</v>
      </c>
      <c r="N71" s="26">
        <v>1</v>
      </c>
      <c r="O71" s="26">
        <v>1</v>
      </c>
      <c r="P71" s="26">
        <v>1</v>
      </c>
      <c r="Q71" s="26">
        <v>1</v>
      </c>
      <c r="R71" s="26">
        <v>1</v>
      </c>
      <c r="S71" s="26">
        <v>1</v>
      </c>
      <c r="T71" s="26">
        <v>1</v>
      </c>
      <c r="U71" s="26">
        <v>1</v>
      </c>
      <c r="V71" s="28">
        <v>0</v>
      </c>
      <c r="W71" s="26">
        <v>0</v>
      </c>
      <c r="X71" s="26">
        <v>0</v>
      </c>
      <c r="Y71" s="26">
        <v>0</v>
      </c>
    </row>
    <row r="72" spans="1:25" ht="16.8">
      <c r="A72" s="58"/>
      <c r="B72" s="58"/>
      <c r="C72" s="46" t="s">
        <v>134</v>
      </c>
      <c r="D72" s="46"/>
      <c r="E72" s="48" t="s">
        <v>226</v>
      </c>
      <c r="F72" s="47"/>
      <c r="G72" s="26">
        <v>2</v>
      </c>
      <c r="H72" s="26">
        <v>2</v>
      </c>
      <c r="I72" s="26">
        <v>2</v>
      </c>
      <c r="J72" s="26">
        <v>2</v>
      </c>
      <c r="K72" s="26">
        <v>2</v>
      </c>
      <c r="L72" s="26">
        <v>2</v>
      </c>
      <c r="M72" s="26">
        <v>2</v>
      </c>
      <c r="N72" s="26">
        <v>2</v>
      </c>
      <c r="O72" s="26">
        <v>2</v>
      </c>
      <c r="P72" s="26">
        <v>2</v>
      </c>
      <c r="Q72" s="26">
        <v>2</v>
      </c>
      <c r="R72" s="26">
        <v>2</v>
      </c>
      <c r="S72" s="26">
        <v>2</v>
      </c>
      <c r="T72" s="26">
        <v>2</v>
      </c>
      <c r="U72" s="26">
        <v>2</v>
      </c>
      <c r="V72" s="28">
        <v>0</v>
      </c>
      <c r="W72" s="26">
        <v>0</v>
      </c>
      <c r="X72" s="26">
        <v>0</v>
      </c>
      <c r="Y72" s="26">
        <v>0</v>
      </c>
    </row>
    <row r="73" spans="1:25" ht="16.8">
      <c r="A73" s="58"/>
      <c r="B73" s="58"/>
      <c r="C73" s="46" t="s">
        <v>135</v>
      </c>
      <c r="D73" s="46"/>
      <c r="E73" s="48" t="s">
        <v>226</v>
      </c>
      <c r="F73" s="47"/>
      <c r="G73" s="26">
        <v>2</v>
      </c>
      <c r="H73" s="26">
        <v>2</v>
      </c>
      <c r="I73" s="26">
        <v>2</v>
      </c>
      <c r="J73" s="26">
        <v>2</v>
      </c>
      <c r="K73" s="26">
        <v>2</v>
      </c>
      <c r="L73" s="26">
        <v>2</v>
      </c>
      <c r="M73" s="26">
        <v>2</v>
      </c>
      <c r="N73" s="26">
        <v>2</v>
      </c>
      <c r="O73" s="26">
        <v>2</v>
      </c>
      <c r="P73" s="26">
        <v>2</v>
      </c>
      <c r="Q73" s="26">
        <v>2</v>
      </c>
      <c r="R73" s="26">
        <v>2</v>
      </c>
      <c r="S73" s="26">
        <v>2</v>
      </c>
      <c r="T73" s="26">
        <v>2</v>
      </c>
      <c r="U73" s="26">
        <v>2</v>
      </c>
      <c r="V73" s="28">
        <v>0</v>
      </c>
      <c r="W73" s="26">
        <v>0</v>
      </c>
      <c r="X73" s="26">
        <v>0</v>
      </c>
      <c r="Y73" s="26">
        <v>0</v>
      </c>
    </row>
    <row r="74" spans="1:25" ht="16.8">
      <c r="A74" s="58"/>
      <c r="B74" s="58"/>
      <c r="C74" s="46" t="s">
        <v>136</v>
      </c>
      <c r="D74" s="46"/>
      <c r="E74" s="48" t="s">
        <v>226</v>
      </c>
      <c r="F74" s="47"/>
      <c r="G74" s="26">
        <v>1</v>
      </c>
      <c r="H74" s="26">
        <v>1</v>
      </c>
      <c r="I74" s="26">
        <v>1</v>
      </c>
      <c r="J74" s="26">
        <v>1</v>
      </c>
      <c r="K74" s="26">
        <v>1</v>
      </c>
      <c r="L74" s="26">
        <v>1</v>
      </c>
      <c r="M74" s="26">
        <v>1</v>
      </c>
      <c r="N74" s="26">
        <v>1</v>
      </c>
      <c r="O74" s="26">
        <v>1</v>
      </c>
      <c r="P74" s="26">
        <v>1</v>
      </c>
      <c r="Q74" s="26">
        <v>1</v>
      </c>
      <c r="R74" s="26">
        <v>1</v>
      </c>
      <c r="S74" s="26">
        <v>1</v>
      </c>
      <c r="T74" s="26">
        <v>1</v>
      </c>
      <c r="U74" s="26">
        <v>1</v>
      </c>
      <c r="V74" s="28">
        <v>0</v>
      </c>
      <c r="W74" s="26">
        <v>0</v>
      </c>
      <c r="X74" s="26">
        <v>0</v>
      </c>
      <c r="Y74" s="26">
        <v>0</v>
      </c>
    </row>
    <row r="75" spans="1:25" ht="16.8">
      <c r="A75" s="58"/>
      <c r="B75" s="58"/>
      <c r="C75" s="46" t="s">
        <v>137</v>
      </c>
      <c r="D75" s="46"/>
      <c r="E75" s="48" t="s">
        <v>226</v>
      </c>
      <c r="F75" s="47"/>
      <c r="G75" s="26">
        <v>1</v>
      </c>
      <c r="H75" s="26">
        <v>1</v>
      </c>
      <c r="I75" s="26">
        <v>1</v>
      </c>
      <c r="J75" s="26">
        <v>1</v>
      </c>
      <c r="K75" s="26">
        <v>1</v>
      </c>
      <c r="L75" s="26">
        <v>1</v>
      </c>
      <c r="M75" s="26">
        <v>1</v>
      </c>
      <c r="N75" s="26">
        <v>1</v>
      </c>
      <c r="O75" s="26">
        <v>1</v>
      </c>
      <c r="P75" s="26">
        <v>1</v>
      </c>
      <c r="Q75" s="26">
        <v>1</v>
      </c>
      <c r="R75" s="26">
        <v>1</v>
      </c>
      <c r="S75" s="26">
        <v>1</v>
      </c>
      <c r="T75" s="26">
        <v>1</v>
      </c>
      <c r="U75" s="26">
        <v>1</v>
      </c>
      <c r="V75" s="28">
        <v>0</v>
      </c>
      <c r="W75" s="26">
        <v>0</v>
      </c>
      <c r="X75" s="26">
        <v>0</v>
      </c>
      <c r="Y75" s="26">
        <v>0</v>
      </c>
    </row>
    <row r="76" spans="1:25" ht="16.8">
      <c r="A76" s="58"/>
      <c r="B76" s="58"/>
      <c r="C76" s="49" t="s">
        <v>138</v>
      </c>
      <c r="D76" s="50"/>
      <c r="E76" s="48" t="s">
        <v>226</v>
      </c>
      <c r="F76" s="47"/>
      <c r="G76" s="26">
        <v>1</v>
      </c>
      <c r="H76" s="26"/>
      <c r="I76" s="26">
        <v>1</v>
      </c>
      <c r="J76" s="26">
        <v>1</v>
      </c>
      <c r="K76" s="26">
        <v>1</v>
      </c>
      <c r="L76" s="26">
        <v>1</v>
      </c>
      <c r="M76" s="26">
        <v>1</v>
      </c>
      <c r="N76" s="26">
        <v>1</v>
      </c>
      <c r="O76" s="26">
        <v>1</v>
      </c>
      <c r="P76" s="26">
        <v>1</v>
      </c>
      <c r="Q76" s="26">
        <v>1</v>
      </c>
      <c r="R76" s="26">
        <v>1</v>
      </c>
      <c r="S76" s="26">
        <v>1</v>
      </c>
      <c r="T76" s="26">
        <v>1</v>
      </c>
      <c r="U76" s="26">
        <v>1</v>
      </c>
      <c r="V76" s="28">
        <v>0</v>
      </c>
      <c r="W76" s="26">
        <v>0</v>
      </c>
      <c r="X76" s="26">
        <v>0</v>
      </c>
      <c r="Y76" s="26">
        <v>0</v>
      </c>
    </row>
    <row r="77" spans="1:25" ht="16.8">
      <c r="A77" s="58"/>
      <c r="B77" s="58"/>
      <c r="C77" s="46" t="s">
        <v>139</v>
      </c>
      <c r="D77" s="46"/>
      <c r="E77" s="48" t="s">
        <v>226</v>
      </c>
      <c r="F77" s="47"/>
      <c r="G77" s="26">
        <v>1</v>
      </c>
      <c r="H77" s="26">
        <v>1</v>
      </c>
      <c r="I77" s="26">
        <v>1</v>
      </c>
      <c r="J77" s="26">
        <v>1</v>
      </c>
      <c r="K77" s="26">
        <v>1</v>
      </c>
      <c r="L77" s="26">
        <v>1</v>
      </c>
      <c r="M77" s="26">
        <v>1</v>
      </c>
      <c r="N77" s="26">
        <v>1</v>
      </c>
      <c r="O77" s="26">
        <v>1</v>
      </c>
      <c r="P77" s="26">
        <v>1</v>
      </c>
      <c r="Q77" s="26">
        <v>1</v>
      </c>
      <c r="R77" s="26">
        <v>1</v>
      </c>
      <c r="S77" s="26">
        <v>1</v>
      </c>
      <c r="T77" s="26">
        <v>1</v>
      </c>
      <c r="U77" s="26">
        <v>1</v>
      </c>
      <c r="V77" s="28">
        <v>0</v>
      </c>
      <c r="W77" s="26">
        <v>0</v>
      </c>
      <c r="X77" s="26">
        <v>0</v>
      </c>
      <c r="Y77" s="26">
        <v>0</v>
      </c>
    </row>
    <row r="78" spans="1:25" ht="16.8">
      <c r="A78" s="58"/>
      <c r="B78" s="58"/>
      <c r="C78" s="49" t="s">
        <v>140</v>
      </c>
      <c r="D78" s="50"/>
      <c r="E78" s="48" t="s">
        <v>226</v>
      </c>
      <c r="F78" s="47"/>
      <c r="G78" s="26">
        <v>1</v>
      </c>
      <c r="H78" s="26">
        <v>1</v>
      </c>
      <c r="I78" s="26">
        <v>1</v>
      </c>
      <c r="J78" s="26">
        <v>1</v>
      </c>
      <c r="K78" s="26">
        <v>1</v>
      </c>
      <c r="L78" s="26">
        <v>1</v>
      </c>
      <c r="M78" s="26">
        <v>1</v>
      </c>
      <c r="N78" s="26">
        <v>1</v>
      </c>
      <c r="O78" s="26">
        <v>1</v>
      </c>
      <c r="P78" s="26">
        <v>1</v>
      </c>
      <c r="Q78" s="26">
        <v>1</v>
      </c>
      <c r="R78" s="26">
        <v>1</v>
      </c>
      <c r="S78" s="26">
        <v>1</v>
      </c>
      <c r="T78" s="26">
        <v>1</v>
      </c>
      <c r="U78" s="26">
        <v>1</v>
      </c>
      <c r="V78" s="28">
        <v>0</v>
      </c>
      <c r="W78" s="26">
        <v>0</v>
      </c>
      <c r="X78" s="26">
        <v>0</v>
      </c>
      <c r="Y78" s="26">
        <v>0</v>
      </c>
    </row>
    <row r="79" spans="1:25" ht="16.8">
      <c r="A79" s="58"/>
      <c r="B79" s="58"/>
      <c r="C79" s="46" t="s">
        <v>141</v>
      </c>
      <c r="D79" s="46"/>
      <c r="E79" s="48" t="s">
        <v>226</v>
      </c>
      <c r="F79" s="47"/>
      <c r="G79" s="26">
        <v>1</v>
      </c>
      <c r="H79" s="26">
        <v>1</v>
      </c>
      <c r="I79" s="26">
        <v>1</v>
      </c>
      <c r="J79" s="26">
        <v>1</v>
      </c>
      <c r="K79" s="26">
        <v>1</v>
      </c>
      <c r="L79" s="26">
        <v>1</v>
      </c>
      <c r="M79" s="26">
        <v>1</v>
      </c>
      <c r="N79" s="26">
        <v>1</v>
      </c>
      <c r="O79" s="26">
        <v>1</v>
      </c>
      <c r="P79" s="26">
        <v>1</v>
      </c>
      <c r="Q79" s="26">
        <v>1</v>
      </c>
      <c r="R79" s="26">
        <v>1</v>
      </c>
      <c r="S79" s="26">
        <v>1</v>
      </c>
      <c r="T79" s="26">
        <v>1</v>
      </c>
      <c r="U79" s="26">
        <v>1</v>
      </c>
      <c r="V79" s="28">
        <v>0</v>
      </c>
      <c r="W79" s="26">
        <v>0</v>
      </c>
      <c r="X79" s="26">
        <v>0</v>
      </c>
      <c r="Y79" s="26">
        <v>0</v>
      </c>
    </row>
    <row r="80" spans="1:25" ht="16.8">
      <c r="A80" s="58"/>
      <c r="B80" s="58" t="s">
        <v>71</v>
      </c>
      <c r="C80" s="46" t="s">
        <v>142</v>
      </c>
      <c r="D80" s="46"/>
      <c r="E80" s="48" t="s">
        <v>216</v>
      </c>
      <c r="F80" s="47"/>
      <c r="G80" s="26">
        <v>1</v>
      </c>
      <c r="H80" s="26">
        <v>1</v>
      </c>
      <c r="I80" s="26">
        <v>1</v>
      </c>
      <c r="J80" s="26">
        <v>1</v>
      </c>
      <c r="K80" s="26">
        <v>1</v>
      </c>
      <c r="L80" s="26">
        <v>1</v>
      </c>
      <c r="M80" s="26">
        <v>1</v>
      </c>
      <c r="N80" s="26">
        <v>1</v>
      </c>
      <c r="O80" s="26">
        <v>1</v>
      </c>
      <c r="P80" s="26">
        <v>1</v>
      </c>
      <c r="Q80" s="26">
        <v>1</v>
      </c>
      <c r="R80" s="26">
        <v>1</v>
      </c>
      <c r="S80" s="26">
        <v>1</v>
      </c>
      <c r="T80" s="26">
        <v>1</v>
      </c>
      <c r="U80" s="26">
        <v>1</v>
      </c>
      <c r="V80" s="26">
        <v>1</v>
      </c>
      <c r="W80" s="28">
        <v>0</v>
      </c>
      <c r="X80" s="26">
        <v>0</v>
      </c>
      <c r="Y80" s="26">
        <v>0</v>
      </c>
    </row>
    <row r="81" spans="1:25" ht="16.8">
      <c r="A81" s="58"/>
      <c r="B81" s="58"/>
      <c r="C81" s="46" t="s">
        <v>143</v>
      </c>
      <c r="D81" s="46"/>
      <c r="E81" s="48" t="s">
        <v>216</v>
      </c>
      <c r="F81" s="47"/>
      <c r="G81" s="26">
        <v>2</v>
      </c>
      <c r="H81" s="26">
        <v>2</v>
      </c>
      <c r="I81" s="26">
        <v>2</v>
      </c>
      <c r="J81" s="26">
        <v>2</v>
      </c>
      <c r="K81" s="26">
        <v>2</v>
      </c>
      <c r="L81" s="26">
        <v>2</v>
      </c>
      <c r="M81" s="26">
        <v>2</v>
      </c>
      <c r="N81" s="26">
        <v>2</v>
      </c>
      <c r="O81" s="26">
        <v>2</v>
      </c>
      <c r="P81" s="26">
        <v>2</v>
      </c>
      <c r="Q81" s="26">
        <v>2</v>
      </c>
      <c r="R81" s="26">
        <v>2</v>
      </c>
      <c r="S81" s="26">
        <v>2</v>
      </c>
      <c r="T81" s="26">
        <v>2</v>
      </c>
      <c r="U81" s="26">
        <v>2</v>
      </c>
      <c r="V81" s="26">
        <v>2</v>
      </c>
      <c r="W81" s="28">
        <v>0</v>
      </c>
      <c r="X81" s="26">
        <v>0</v>
      </c>
      <c r="Y81" s="26">
        <v>0</v>
      </c>
    </row>
    <row r="82" spans="1:25" ht="16.8">
      <c r="A82" s="58"/>
      <c r="B82" s="58"/>
      <c r="C82" s="49" t="s">
        <v>144</v>
      </c>
      <c r="D82" s="50"/>
      <c r="E82" s="48" t="s">
        <v>216</v>
      </c>
      <c r="F82" s="47"/>
      <c r="G82" s="26">
        <v>2</v>
      </c>
      <c r="H82" s="26">
        <v>2</v>
      </c>
      <c r="I82" s="26">
        <v>2</v>
      </c>
      <c r="J82" s="26">
        <v>2</v>
      </c>
      <c r="K82" s="26">
        <v>2</v>
      </c>
      <c r="L82" s="26">
        <v>2</v>
      </c>
      <c r="M82" s="26">
        <v>2</v>
      </c>
      <c r="N82" s="26">
        <v>2</v>
      </c>
      <c r="O82" s="26">
        <v>2</v>
      </c>
      <c r="P82" s="26">
        <v>2</v>
      </c>
      <c r="Q82" s="26">
        <v>2</v>
      </c>
      <c r="R82" s="26">
        <v>2</v>
      </c>
      <c r="S82" s="26">
        <v>2</v>
      </c>
      <c r="T82" s="26">
        <v>2</v>
      </c>
      <c r="U82" s="26">
        <v>2</v>
      </c>
      <c r="V82" s="26">
        <v>2</v>
      </c>
      <c r="W82" s="28">
        <v>0</v>
      </c>
      <c r="X82" s="26">
        <v>0</v>
      </c>
      <c r="Y82" s="26">
        <v>0</v>
      </c>
    </row>
    <row r="83" spans="1:25" ht="16.8">
      <c r="A83" s="58"/>
      <c r="B83" s="58"/>
      <c r="C83" s="55" t="s">
        <v>145</v>
      </c>
      <c r="D83" s="56"/>
      <c r="E83" s="48" t="s">
        <v>216</v>
      </c>
      <c r="F83" s="47"/>
      <c r="G83" s="26">
        <v>2</v>
      </c>
      <c r="H83" s="26">
        <v>2</v>
      </c>
      <c r="I83" s="26">
        <v>2</v>
      </c>
      <c r="J83" s="26">
        <v>2</v>
      </c>
      <c r="K83" s="26">
        <v>2</v>
      </c>
      <c r="L83" s="26">
        <v>2</v>
      </c>
      <c r="M83" s="26">
        <v>2</v>
      </c>
      <c r="N83" s="26">
        <v>2</v>
      </c>
      <c r="O83" s="26">
        <v>2</v>
      </c>
      <c r="P83" s="26">
        <v>2</v>
      </c>
      <c r="Q83" s="26">
        <v>2</v>
      </c>
      <c r="R83" s="26">
        <v>2</v>
      </c>
      <c r="S83" s="26">
        <v>2</v>
      </c>
      <c r="T83" s="26">
        <v>2</v>
      </c>
      <c r="U83" s="26">
        <v>2</v>
      </c>
      <c r="V83" s="26">
        <v>2</v>
      </c>
      <c r="W83" s="28">
        <v>0</v>
      </c>
      <c r="X83" s="26">
        <v>0</v>
      </c>
      <c r="Y83" s="26">
        <v>0</v>
      </c>
    </row>
    <row r="84" spans="1:25" ht="16.8">
      <c r="A84" s="58"/>
      <c r="B84" s="58"/>
      <c r="C84" s="46" t="s">
        <v>146</v>
      </c>
      <c r="D84" s="46"/>
      <c r="E84" s="48" t="s">
        <v>216</v>
      </c>
      <c r="F84" s="47"/>
      <c r="G84" s="26">
        <v>2</v>
      </c>
      <c r="H84" s="26">
        <v>2</v>
      </c>
      <c r="I84" s="26">
        <v>2</v>
      </c>
      <c r="J84" s="26">
        <v>2</v>
      </c>
      <c r="K84" s="26">
        <v>2</v>
      </c>
      <c r="L84" s="26">
        <v>2</v>
      </c>
      <c r="M84" s="26">
        <v>2</v>
      </c>
      <c r="N84" s="26">
        <v>2</v>
      </c>
      <c r="O84" s="26">
        <v>2</v>
      </c>
      <c r="P84" s="26">
        <v>2</v>
      </c>
      <c r="Q84" s="26">
        <v>2</v>
      </c>
      <c r="R84" s="26">
        <v>2</v>
      </c>
      <c r="S84" s="26">
        <v>2</v>
      </c>
      <c r="T84" s="26">
        <v>2</v>
      </c>
      <c r="U84" s="26">
        <v>2</v>
      </c>
      <c r="V84" s="26">
        <v>2</v>
      </c>
      <c r="W84" s="28">
        <v>0</v>
      </c>
      <c r="X84" s="26">
        <v>0</v>
      </c>
      <c r="Y84" s="26">
        <v>0</v>
      </c>
    </row>
    <row r="85" spans="1:25" ht="16.8">
      <c r="A85" s="58"/>
      <c r="B85" s="58"/>
      <c r="C85" s="46" t="s">
        <v>147</v>
      </c>
      <c r="D85" s="46"/>
      <c r="E85" s="48" t="s">
        <v>216</v>
      </c>
      <c r="F85" s="47"/>
      <c r="G85" s="26">
        <v>2</v>
      </c>
      <c r="H85" s="26">
        <v>2</v>
      </c>
      <c r="I85" s="26">
        <v>2</v>
      </c>
      <c r="J85" s="26">
        <v>2</v>
      </c>
      <c r="K85" s="26">
        <v>2</v>
      </c>
      <c r="L85" s="26">
        <v>2</v>
      </c>
      <c r="M85" s="26">
        <v>2</v>
      </c>
      <c r="N85" s="26">
        <v>2</v>
      </c>
      <c r="O85" s="26">
        <v>2</v>
      </c>
      <c r="P85" s="26">
        <v>2</v>
      </c>
      <c r="Q85" s="26">
        <v>2</v>
      </c>
      <c r="R85" s="26">
        <v>2</v>
      </c>
      <c r="S85" s="26">
        <v>2</v>
      </c>
      <c r="T85" s="26">
        <v>2</v>
      </c>
      <c r="U85" s="26">
        <v>2</v>
      </c>
      <c r="V85" s="26">
        <v>2</v>
      </c>
      <c r="W85" s="28">
        <v>0</v>
      </c>
      <c r="X85" s="26">
        <v>0</v>
      </c>
      <c r="Y85" s="26">
        <v>0</v>
      </c>
    </row>
    <row r="86" spans="1:25" ht="16.8">
      <c r="A86" s="58"/>
      <c r="B86" s="58"/>
      <c r="C86" s="49" t="s">
        <v>148</v>
      </c>
      <c r="D86" s="50"/>
      <c r="E86" s="48" t="s">
        <v>216</v>
      </c>
      <c r="F86" s="47"/>
      <c r="G86" s="26">
        <v>2</v>
      </c>
      <c r="H86" s="26">
        <v>2</v>
      </c>
      <c r="I86" s="26">
        <v>2</v>
      </c>
      <c r="J86" s="26">
        <v>2</v>
      </c>
      <c r="K86" s="26">
        <v>2</v>
      </c>
      <c r="L86" s="26">
        <v>2</v>
      </c>
      <c r="M86" s="26">
        <v>2</v>
      </c>
      <c r="N86" s="26">
        <v>2</v>
      </c>
      <c r="O86" s="26">
        <v>2</v>
      </c>
      <c r="P86" s="26">
        <v>2</v>
      </c>
      <c r="Q86" s="26">
        <v>2</v>
      </c>
      <c r="R86" s="26">
        <v>2</v>
      </c>
      <c r="S86" s="26">
        <v>2</v>
      </c>
      <c r="T86" s="26">
        <v>2</v>
      </c>
      <c r="U86" s="26">
        <v>2</v>
      </c>
      <c r="V86" s="26">
        <v>2</v>
      </c>
      <c r="W86" s="28">
        <v>0</v>
      </c>
      <c r="X86" s="26">
        <v>0</v>
      </c>
      <c r="Y86" s="26">
        <v>0</v>
      </c>
    </row>
    <row r="87" spans="1:25" ht="16.8">
      <c r="A87" s="58"/>
      <c r="B87" s="58"/>
      <c r="C87" s="46" t="s">
        <v>149</v>
      </c>
      <c r="D87" s="46"/>
      <c r="E87" s="48" t="s">
        <v>216</v>
      </c>
      <c r="F87" s="47"/>
      <c r="G87" s="26">
        <v>2</v>
      </c>
      <c r="H87" s="26">
        <v>2</v>
      </c>
      <c r="I87" s="26">
        <v>2</v>
      </c>
      <c r="J87" s="26">
        <v>2</v>
      </c>
      <c r="K87" s="26">
        <v>2</v>
      </c>
      <c r="L87" s="26">
        <v>2</v>
      </c>
      <c r="M87" s="26">
        <v>2</v>
      </c>
      <c r="N87" s="26">
        <v>2</v>
      </c>
      <c r="O87" s="26">
        <v>2</v>
      </c>
      <c r="P87" s="26">
        <v>2</v>
      </c>
      <c r="Q87" s="26">
        <v>2</v>
      </c>
      <c r="R87" s="26">
        <v>2</v>
      </c>
      <c r="S87" s="26">
        <v>2</v>
      </c>
      <c r="T87" s="26">
        <v>2</v>
      </c>
      <c r="U87" s="26">
        <v>2</v>
      </c>
      <c r="V87" s="26">
        <v>2</v>
      </c>
      <c r="W87" s="36">
        <v>0</v>
      </c>
      <c r="X87" s="28">
        <v>0</v>
      </c>
      <c r="Y87" s="26">
        <v>0</v>
      </c>
    </row>
    <row r="88" spans="1:25" ht="16.8">
      <c r="A88" s="58"/>
      <c r="B88" s="58" t="s">
        <v>150</v>
      </c>
      <c r="C88" s="46" t="s">
        <v>151</v>
      </c>
      <c r="D88" s="46"/>
      <c r="E88" s="47" t="s">
        <v>19</v>
      </c>
      <c r="F88" s="47"/>
      <c r="G88" s="26">
        <v>5</v>
      </c>
      <c r="H88" s="26">
        <v>5</v>
      </c>
      <c r="I88" s="26">
        <v>5</v>
      </c>
      <c r="J88" s="26">
        <v>5</v>
      </c>
      <c r="K88" s="26">
        <v>5</v>
      </c>
      <c r="L88" s="26">
        <v>5</v>
      </c>
      <c r="M88" s="26">
        <v>5</v>
      </c>
      <c r="N88" s="26">
        <v>5</v>
      </c>
      <c r="O88" s="26">
        <v>5</v>
      </c>
      <c r="P88" s="26">
        <v>5</v>
      </c>
      <c r="Q88" s="26">
        <v>5</v>
      </c>
      <c r="R88" s="26">
        <v>5</v>
      </c>
      <c r="S88" s="26">
        <v>5</v>
      </c>
      <c r="T88" s="26">
        <v>5</v>
      </c>
      <c r="U88" s="26">
        <v>5</v>
      </c>
      <c r="V88" s="26">
        <v>5</v>
      </c>
      <c r="W88" s="26">
        <v>5</v>
      </c>
      <c r="X88" s="26">
        <v>5</v>
      </c>
      <c r="Y88" s="28">
        <v>0</v>
      </c>
    </row>
    <row r="89" spans="1:25" ht="16.8">
      <c r="A89" s="58"/>
      <c r="B89" s="58"/>
      <c r="C89" s="46" t="s">
        <v>152</v>
      </c>
      <c r="D89" s="46"/>
      <c r="E89" s="47" t="s">
        <v>19</v>
      </c>
      <c r="F89" s="47"/>
      <c r="G89" s="26">
        <v>5</v>
      </c>
      <c r="H89" s="26">
        <v>5</v>
      </c>
      <c r="I89" s="26">
        <v>5</v>
      </c>
      <c r="J89" s="26">
        <v>5</v>
      </c>
      <c r="K89" s="26">
        <v>5</v>
      </c>
      <c r="L89" s="26">
        <v>5</v>
      </c>
      <c r="M89" s="26">
        <v>5</v>
      </c>
      <c r="N89" s="26">
        <v>5</v>
      </c>
      <c r="O89" s="26">
        <v>5</v>
      </c>
      <c r="P89" s="26">
        <v>5</v>
      </c>
      <c r="Q89" s="26">
        <v>5</v>
      </c>
      <c r="R89" s="26">
        <v>5</v>
      </c>
      <c r="S89" s="26">
        <v>5</v>
      </c>
      <c r="T89" s="26">
        <v>5</v>
      </c>
      <c r="U89" s="26">
        <v>5</v>
      </c>
      <c r="V89" s="26">
        <v>5</v>
      </c>
      <c r="W89" s="26">
        <v>5</v>
      </c>
      <c r="X89" s="26">
        <v>5</v>
      </c>
      <c r="Y89" s="28">
        <v>0</v>
      </c>
    </row>
    <row r="90" spans="1:25" ht="16.8">
      <c r="A90" s="58"/>
      <c r="B90" s="70" t="s">
        <v>13</v>
      </c>
      <c r="C90" s="70"/>
      <c r="D90" s="70"/>
      <c r="E90" s="57" t="s">
        <v>11</v>
      </c>
      <c r="F90" s="57"/>
      <c r="G90" s="47">
        <f>SUM(G15:G89)</f>
        <v>151</v>
      </c>
      <c r="H90" s="47"/>
      <c r="I90" s="26">
        <f>SUM(I15:I89)</f>
        <v>160</v>
      </c>
      <c r="J90" s="26">
        <f>SUM(J15:J89)-J17</f>
        <v>146</v>
      </c>
      <c r="K90" s="26">
        <f>SUM(K15:K89)</f>
        <v>146</v>
      </c>
      <c r="L90" s="26">
        <f>SUM(L15:L89)</f>
        <v>128</v>
      </c>
      <c r="M90" s="26">
        <f>SUM(M15:M89)</f>
        <v>127</v>
      </c>
      <c r="N90" s="26">
        <f>SUM(N15:N89)</f>
        <v>116</v>
      </c>
      <c r="O90" s="26">
        <f>SUM(O15:O89)-O33</f>
        <v>114</v>
      </c>
      <c r="P90" s="26">
        <f>SUM(P15:P89)</f>
        <v>106</v>
      </c>
      <c r="Q90" s="26">
        <f>SUM(Q15:Q89)-Q41</f>
        <v>97</v>
      </c>
      <c r="R90" s="26">
        <f>SUM(R15:R89)-R43</f>
        <v>94</v>
      </c>
      <c r="S90" s="26">
        <f>SUM(S15:S89)-S47-S53</f>
        <v>75</v>
      </c>
      <c r="T90" s="26">
        <f>SUM(T15:T89)-T61</f>
        <v>54</v>
      </c>
      <c r="U90" s="26">
        <f>SUM(U15:U89)</f>
        <v>37</v>
      </c>
      <c r="V90" s="26">
        <f>SUM(V15:V89)</f>
        <v>25</v>
      </c>
      <c r="W90" s="26">
        <f>SUM(W15:W89)</f>
        <v>10</v>
      </c>
      <c r="X90" s="26">
        <f>SUM(X15:X89)</f>
        <v>10</v>
      </c>
      <c r="Y90" s="26">
        <f>SUM(Y15:Y89)</f>
        <v>0</v>
      </c>
    </row>
    <row r="91" spans="1:25" ht="16.8">
      <c r="A91" s="58"/>
      <c r="B91" s="70"/>
      <c r="C91" s="70"/>
      <c r="D91" s="70"/>
      <c r="E91" s="57" t="s">
        <v>12</v>
      </c>
      <c r="F91" s="57"/>
      <c r="G91" s="47">
        <f>SUM(H15:H89)</f>
        <v>165</v>
      </c>
      <c r="H91" s="47"/>
      <c r="I91" s="26">
        <f>SUM(I15:I89)+J17</f>
        <v>166</v>
      </c>
      <c r="J91" s="26">
        <f>SUM(J15:J89)-J17</f>
        <v>146</v>
      </c>
      <c r="K91" s="26">
        <f t="shared" ref="K91:Y91" si="0">SUM(K15:K89)</f>
        <v>146</v>
      </c>
      <c r="L91" s="26">
        <f t="shared" si="0"/>
        <v>128</v>
      </c>
      <c r="M91" s="26">
        <f>SUM(M15:M89)-M28</f>
        <v>126</v>
      </c>
      <c r="N91" s="26">
        <f>SUM(N15:N89)+O33</f>
        <v>117</v>
      </c>
      <c r="O91" s="26">
        <f>SUM(O15:O89)-O33</f>
        <v>114</v>
      </c>
      <c r="P91" s="26">
        <f>SUM(P15:P89)+Q41</f>
        <v>108</v>
      </c>
      <c r="Q91" s="26">
        <f>SUM(Q15:Q89)+R43-Q41</f>
        <v>98</v>
      </c>
      <c r="R91" s="26">
        <f>SUM(R15:R89)+S47+S53-R43</f>
        <v>96</v>
      </c>
      <c r="S91" s="26">
        <f>SUM(S15:S89)+T61-S53-S47</f>
        <v>76</v>
      </c>
      <c r="T91" s="26">
        <f>SUM(T15:T89)-T61</f>
        <v>54</v>
      </c>
      <c r="U91" s="26">
        <f t="shared" si="0"/>
        <v>37</v>
      </c>
      <c r="V91" s="26">
        <f t="shared" si="0"/>
        <v>25</v>
      </c>
      <c r="W91" s="26">
        <f t="shared" si="0"/>
        <v>10</v>
      </c>
      <c r="X91" s="26">
        <f t="shared" si="0"/>
        <v>10</v>
      </c>
      <c r="Y91" s="26">
        <f t="shared" si="0"/>
        <v>0</v>
      </c>
    </row>
    <row r="112" spans="3:4">
      <c r="C112" s="69"/>
      <c r="D112" s="69"/>
    </row>
  </sheetData>
  <mergeCells count="172">
    <mergeCell ref="C112:D112"/>
    <mergeCell ref="B90:D91"/>
    <mergeCell ref="C87:D87"/>
    <mergeCell ref="E87:F87"/>
    <mergeCell ref="C88:D88"/>
    <mergeCell ref="E88:F88"/>
    <mergeCell ref="C89:D89"/>
    <mergeCell ref="E89:F89"/>
    <mergeCell ref="E90:F90"/>
    <mergeCell ref="G90:H90"/>
    <mergeCell ref="E91:F91"/>
    <mergeCell ref="G91:H9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78:D78"/>
    <mergeCell ref="E78:F78"/>
    <mergeCell ref="C79:D79"/>
    <mergeCell ref="E79:F79"/>
    <mergeCell ref="C80:D80"/>
    <mergeCell ref="E80:F80"/>
    <mergeCell ref="C81:D81"/>
    <mergeCell ref="E81:F81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0:D70"/>
    <mergeCell ref="E70:F70"/>
    <mergeCell ref="C71:D71"/>
    <mergeCell ref="E71:F71"/>
    <mergeCell ref="C72:D72"/>
    <mergeCell ref="E72:F72"/>
    <mergeCell ref="C65:D65"/>
    <mergeCell ref="E65:F65"/>
    <mergeCell ref="C66:D66"/>
    <mergeCell ref="E66:F66"/>
    <mergeCell ref="C67:D67"/>
    <mergeCell ref="E67:F67"/>
    <mergeCell ref="C68:D68"/>
    <mergeCell ref="E68:F68"/>
    <mergeCell ref="C61:D61"/>
    <mergeCell ref="E61:F61"/>
    <mergeCell ref="C62:D62"/>
    <mergeCell ref="E62:F62"/>
    <mergeCell ref="C63:D63"/>
    <mergeCell ref="E63:F63"/>
    <mergeCell ref="C64:D64"/>
    <mergeCell ref="E64:F64"/>
    <mergeCell ref="C69:D69"/>
    <mergeCell ref="E69:F69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E19:F19"/>
    <mergeCell ref="C20:D20"/>
    <mergeCell ref="E20:F20"/>
    <mergeCell ref="B19:B3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E26:F26"/>
    <mergeCell ref="E27:F27"/>
    <mergeCell ref="C28:D28"/>
    <mergeCell ref="E28:F28"/>
    <mergeCell ref="C29:D29"/>
    <mergeCell ref="E29:F29"/>
    <mergeCell ref="C30:D30"/>
    <mergeCell ref="E30:F30"/>
    <mergeCell ref="C26:D26"/>
    <mergeCell ref="C27:D27"/>
    <mergeCell ref="A1:B1"/>
    <mergeCell ref="A2:B2"/>
    <mergeCell ref="A3:B3"/>
    <mergeCell ref="A4:B4"/>
    <mergeCell ref="B6:E6"/>
    <mergeCell ref="B12:C12"/>
    <mergeCell ref="C14:D14"/>
    <mergeCell ref="E14:F14"/>
    <mergeCell ref="B15:D15"/>
    <mergeCell ref="E15:F15"/>
    <mergeCell ref="A15:A91"/>
    <mergeCell ref="B31:B41"/>
    <mergeCell ref="B42:B62"/>
    <mergeCell ref="B63:B70"/>
    <mergeCell ref="B71:B79"/>
    <mergeCell ref="B80:B87"/>
    <mergeCell ref="B88:B89"/>
    <mergeCell ref="B16:D16"/>
    <mergeCell ref="E16:F16"/>
    <mergeCell ref="B17:D17"/>
    <mergeCell ref="E17:F17"/>
    <mergeCell ref="B18:D18"/>
    <mergeCell ref="E18:F18"/>
    <mergeCell ref="C19:D19"/>
  </mergeCells>
  <pageMargins left="0.7" right="0.7" top="0.75" bottom="0.75" header="0.3" footer="0.3"/>
  <pageSetup orientation="portrait" horizontalDpi="1200" verticalDpi="12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13"/>
  <sheetViews>
    <sheetView tabSelected="1" topLeftCell="C105" zoomScale="64" zoomScaleNormal="52" workbookViewId="0">
      <selection activeCell="AD126" sqref="AD126"/>
    </sheetView>
  </sheetViews>
  <sheetFormatPr defaultColWidth="9.109375" defaultRowHeight="16.8"/>
  <cols>
    <col min="1" max="1" width="19.5546875" style="10" customWidth="1"/>
    <col min="2" max="2" width="19" style="10" customWidth="1"/>
    <col min="3" max="3" width="54.6640625" style="10" customWidth="1"/>
    <col min="4" max="4" width="11.5546875" style="10" customWidth="1"/>
    <col min="5" max="5" width="9.5546875" style="10" customWidth="1"/>
    <col min="6" max="6" width="19.33203125" style="10" customWidth="1"/>
    <col min="7" max="7" width="6" style="10" customWidth="1"/>
    <col min="8" max="8" width="6.109375" style="10" customWidth="1"/>
    <col min="9" max="12" width="6" style="10" customWidth="1"/>
    <col min="13" max="13" width="6.109375" style="10" customWidth="1"/>
    <col min="14" max="17" width="6" style="10" customWidth="1"/>
    <col min="18" max="18" width="6.109375" style="10" customWidth="1"/>
    <col min="19" max="21" width="6" style="10" customWidth="1"/>
    <col min="22" max="24" width="6.109375" style="10" customWidth="1"/>
    <col min="25" max="26" width="6" style="10" customWidth="1"/>
    <col min="27" max="27" width="6.109375" style="10" customWidth="1"/>
    <col min="28" max="28" width="6" style="10" customWidth="1"/>
    <col min="29" max="29" width="6.109375" style="10" customWidth="1"/>
    <col min="30" max="30" width="5.6640625" style="10" customWidth="1"/>
    <col min="31" max="31" width="4.88671875" style="10" customWidth="1"/>
    <col min="32" max="32" width="4.6640625" style="10" customWidth="1"/>
    <col min="33" max="33" width="5" style="10" customWidth="1"/>
    <col min="34" max="34" width="4.6640625" style="10" customWidth="1"/>
    <col min="35" max="35" width="4.44140625" style="10" customWidth="1"/>
    <col min="36" max="36" width="4.6640625" style="10" customWidth="1"/>
    <col min="37" max="37" width="4.44140625" style="10" customWidth="1"/>
    <col min="38" max="39" width="4.88671875" style="10" customWidth="1"/>
    <col min="40" max="16384" width="9.109375" style="10"/>
  </cols>
  <sheetData>
    <row r="1" spans="1:39" ht="51" thickBot="1">
      <c r="A1" s="71" t="s">
        <v>0</v>
      </c>
      <c r="B1" s="72"/>
      <c r="C1" s="39" t="s">
        <v>215</v>
      </c>
      <c r="E1" s="11"/>
      <c r="F1" s="12" t="s">
        <v>83</v>
      </c>
    </row>
    <row r="2" spans="1:39" ht="17.399999999999999" thickBot="1">
      <c r="A2" s="71" t="s">
        <v>2</v>
      </c>
      <c r="B2" s="72"/>
      <c r="C2" s="13" t="s">
        <v>153</v>
      </c>
      <c r="E2" s="14"/>
      <c r="F2" s="15" t="s">
        <v>85</v>
      </c>
    </row>
    <row r="3" spans="1:39" ht="17.399999999999999" thickBot="1">
      <c r="A3" s="71" t="s">
        <v>5</v>
      </c>
      <c r="B3" s="72"/>
      <c r="C3" s="16">
        <v>45968</v>
      </c>
      <c r="E3" s="17"/>
      <c r="F3" s="15" t="s">
        <v>4</v>
      </c>
    </row>
    <row r="4" spans="1:39" ht="18" customHeight="1" thickBot="1">
      <c r="A4" s="71" t="s">
        <v>7</v>
      </c>
      <c r="B4" s="72"/>
      <c r="C4" s="16">
        <v>45998</v>
      </c>
      <c r="E4" s="18"/>
      <c r="F4" s="15" t="s">
        <v>86</v>
      </c>
    </row>
    <row r="5" spans="1:39" ht="18" customHeight="1" thickBot="1">
      <c r="E5" s="19"/>
      <c r="F5" s="20" t="s">
        <v>6</v>
      </c>
    </row>
    <row r="6" spans="1:39" ht="17.399999999999999" thickBot="1">
      <c r="B6" s="44" t="s">
        <v>154</v>
      </c>
      <c r="C6" s="44"/>
      <c r="D6" s="44"/>
      <c r="E6" s="73"/>
    </row>
    <row r="7" spans="1:39" ht="17.399999999999999" thickBot="1">
      <c r="B7" s="21" t="s">
        <v>9</v>
      </c>
      <c r="C7" s="21" t="s">
        <v>10</v>
      </c>
      <c r="D7" s="21" t="s">
        <v>11</v>
      </c>
      <c r="E7" s="21" t="s">
        <v>12</v>
      </c>
    </row>
    <row r="8" spans="1:39" ht="17.399999999999999" thickBot="1">
      <c r="B8" s="22">
        <v>1</v>
      </c>
      <c r="C8" s="38" t="s">
        <v>216</v>
      </c>
      <c r="D8" s="13">
        <f ca="1">SUMIF($E$16:$F$111,"Chế Linh",$G$16:$G$111)+SUMIF($E$16:$F$111,"All team",$G$16:$G$111)/4+SUMIF($E$16:$F$111,"Gia Huy,Chế Linh",$G$16:$G$111)/2+SUMIF($E$16:$F$111,"Gia Huy, Chế Linh",$G$16:$G$111)/2</f>
        <v>65.5</v>
      </c>
      <c r="E8" s="13">
        <f ca="1">SUMIF($E$16:$F$111,"Chế Linh",$H$16:$H$111)+SUMIF($E$16:$F$111,"All team",$H$16:$H$111)/4+SUMIF($E$16:$F$111,"Gia Huy,Chế Linh",$H$16:$H$111)/2+SUMIF($E$16:$F$111,"Gia Huy, Chế Linh",$H$16:$H$111)/2</f>
        <v>69</v>
      </c>
    </row>
    <row r="9" spans="1:39" ht="17.399999999999999" thickBot="1">
      <c r="B9" s="22">
        <v>2</v>
      </c>
      <c r="C9" s="38" t="s">
        <v>217</v>
      </c>
      <c r="D9" s="13">
        <f ca="1">SUMIF($E$16:$F$111,"Lai Khê",$G$16:$G$111)+SUMIF($E$16:$F$111,"All team",$G$16:$G$111)/4+SUMIF($E$16:$F$111,"Lai Khê,Khoan",$G$16:$G$111)/2+SUMIF($E$16:$F$111,"Khoan,Lai Khê",$G$16:$G$111)/2</f>
        <v>40</v>
      </c>
      <c r="E9" s="13">
        <f ca="1">SUMIF($E$16:$F$111,"Lai Khê",$H$16:$H$111)+SUMIF($E$16:$F$111,"All team",$H$16:$H$111)/4+SUMIF($E$16:$F$111,"Lai Khê,Khoan",$H$16:$H$111)/2+SUMIF($E$16:$F$111,"Khoan,Lai Khê",$H$16:$H$111)/2</f>
        <v>43</v>
      </c>
    </row>
    <row r="10" spans="1:39" ht="17.399999999999999" thickBot="1">
      <c r="B10" s="22">
        <v>3</v>
      </c>
      <c r="C10" s="38" t="s">
        <v>218</v>
      </c>
      <c r="D10" s="13">
        <f ca="1">SUMIF($E$16:$F$111,"Khoan",$G$16:$G$111)+SUMIF($E$16:$F$111,"All team",$G$16:$G$111)/4+SUMIF($E$16:$F$111,"Lai Khê,Khoan",$G$16:$G$111)/2+SUMIF($E$16:$F$111,"Khoan,Lai Khê",$G$16:$G$111)/2</f>
        <v>40</v>
      </c>
      <c r="E10" s="13">
        <f ca="1">SUMIF($E$16:$F$111,"Khoan",$H$16:$H$111)+SUMIF($E$16:$F$111,"All team",$H$16:$H$111)/4+SUMIF($E$16:$F$111,"Lai Khê,Khoan",$H$16:$H$111)/2+SUMIF($E$16:$F$111,"Khoan,Lai Khê",$H$16:$H$111)/2</f>
        <v>44</v>
      </c>
    </row>
    <row r="11" spans="1:39" ht="17.399999999999999" thickBot="1">
      <c r="B11" s="22">
        <v>4</v>
      </c>
      <c r="C11" s="38" t="s">
        <v>219</v>
      </c>
      <c r="D11" s="13">
        <f ca="1">SUMIF($E$16:$F$111,"Gia Huy",$G$16:$G$111)+SUMIF($E$16:$F$111,"All team",$G$16:$G$111)/4+SUMIF($E$16:$F$111,"Gia Huy,Chế Linh",$G$16:$G$111)/2+SUMIF($E$16:$F$111,"Gia Huy, Chế Linh",$G$16:$G$111)/2</f>
        <v>27.5</v>
      </c>
      <c r="E11" s="13">
        <f ca="1">SUMIF($E$16:$F$111,"Gia Huy",$H$16:$H$111)+SUMIF($E$16:$F$111,"All team",$H$16:$H$111)/4+SUMIF($E$16:$F$111,"Gia Huy,Chế Linh",$H$16:$H$111)/2+SUMIF($E$16:$F$111,"Gia Huy, Chế Linh",$H$16:$H$111)/2</f>
        <v>25</v>
      </c>
    </row>
    <row r="12" spans="1:39" ht="17.399999999999999" thickBot="1">
      <c r="B12" s="22"/>
      <c r="C12" s="13"/>
      <c r="D12" s="13"/>
      <c r="E12" s="13"/>
    </row>
    <row r="13" spans="1:39" ht="17.399999999999999" thickBot="1">
      <c r="B13" s="44" t="s">
        <v>13</v>
      </c>
      <c r="C13" s="44"/>
      <c r="D13" s="23">
        <f ca="1">SUM(D8:D12)</f>
        <v>173</v>
      </c>
      <c r="E13" s="23">
        <f ca="1">SUM(E8:E12)</f>
        <v>181</v>
      </c>
    </row>
    <row r="15" spans="1:39" ht="63.75" customHeight="1">
      <c r="A15" s="24" t="s">
        <v>14</v>
      </c>
      <c r="B15" s="24" t="s">
        <v>15</v>
      </c>
      <c r="C15" s="74" t="s">
        <v>16</v>
      </c>
      <c r="D15" s="75"/>
      <c r="E15" s="74" t="s">
        <v>17</v>
      </c>
      <c r="F15" s="75"/>
      <c r="G15" s="25" t="s">
        <v>11</v>
      </c>
      <c r="H15" s="25" t="s">
        <v>12</v>
      </c>
      <c r="I15" s="27">
        <v>45968</v>
      </c>
      <c r="J15" s="27">
        <v>45969</v>
      </c>
      <c r="K15" s="27">
        <v>45970</v>
      </c>
      <c r="L15" s="27">
        <v>45971</v>
      </c>
      <c r="M15" s="27">
        <v>45972</v>
      </c>
      <c r="N15" s="27">
        <v>45973</v>
      </c>
      <c r="O15" s="27">
        <v>45974</v>
      </c>
      <c r="P15" s="27">
        <v>45975</v>
      </c>
      <c r="Q15" s="27">
        <v>45976</v>
      </c>
      <c r="R15" s="27">
        <v>45977</v>
      </c>
      <c r="S15" s="40">
        <v>45978</v>
      </c>
      <c r="T15" s="27">
        <v>45979</v>
      </c>
      <c r="U15" s="27">
        <v>45980</v>
      </c>
      <c r="V15" s="27">
        <v>45981</v>
      </c>
      <c r="W15" s="27">
        <v>45982</v>
      </c>
      <c r="X15" s="27">
        <v>45983</v>
      </c>
      <c r="Y15" s="27">
        <v>45984</v>
      </c>
      <c r="Z15" s="27">
        <v>45985</v>
      </c>
      <c r="AA15" s="27">
        <v>45986</v>
      </c>
      <c r="AB15" s="27">
        <v>45987</v>
      </c>
      <c r="AC15" s="27">
        <v>45988</v>
      </c>
      <c r="AD15" s="27">
        <v>45989</v>
      </c>
      <c r="AE15" s="27">
        <v>45990</v>
      </c>
      <c r="AF15" s="27">
        <v>45991</v>
      </c>
      <c r="AG15" s="27">
        <v>45992</v>
      </c>
      <c r="AH15" s="27">
        <v>45993</v>
      </c>
      <c r="AI15" s="27">
        <v>45994</v>
      </c>
      <c r="AJ15" s="27">
        <v>45995</v>
      </c>
      <c r="AK15" s="27">
        <v>45996</v>
      </c>
      <c r="AL15" s="27">
        <v>45997</v>
      </c>
      <c r="AM15" s="27">
        <v>45998</v>
      </c>
    </row>
    <row r="16" spans="1:39">
      <c r="A16" s="59" t="s">
        <v>153</v>
      </c>
      <c r="B16" s="49" t="s">
        <v>18</v>
      </c>
      <c r="C16" s="76"/>
      <c r="D16" s="50"/>
      <c r="E16" s="66" t="s">
        <v>19</v>
      </c>
      <c r="F16" s="52"/>
      <c r="G16" s="26">
        <v>10</v>
      </c>
      <c r="H16" s="26">
        <v>10</v>
      </c>
      <c r="I16" s="26">
        <v>10</v>
      </c>
      <c r="J16" s="28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0</v>
      </c>
      <c r="S16" s="26">
        <v>0</v>
      </c>
      <c r="T16" s="26">
        <v>0</v>
      </c>
      <c r="U16" s="26">
        <v>0</v>
      </c>
      <c r="V16" s="26">
        <v>0</v>
      </c>
      <c r="W16" s="26">
        <v>0</v>
      </c>
      <c r="X16" s="26">
        <v>0</v>
      </c>
      <c r="Y16" s="26">
        <v>0</v>
      </c>
      <c r="Z16" s="26">
        <v>0</v>
      </c>
      <c r="AA16" s="26">
        <v>0</v>
      </c>
      <c r="AB16" s="26">
        <v>0</v>
      </c>
      <c r="AC16" s="26">
        <v>0</v>
      </c>
      <c r="AD16" s="26">
        <v>0</v>
      </c>
      <c r="AE16" s="26">
        <v>0</v>
      </c>
      <c r="AF16" s="26">
        <v>0</v>
      </c>
      <c r="AG16" s="26">
        <v>0</v>
      </c>
      <c r="AH16" s="26">
        <v>0</v>
      </c>
      <c r="AI16" s="26">
        <v>0</v>
      </c>
      <c r="AJ16" s="26">
        <v>0</v>
      </c>
      <c r="AK16" s="26">
        <v>0</v>
      </c>
      <c r="AL16" s="26">
        <v>0</v>
      </c>
      <c r="AM16" s="26">
        <v>0</v>
      </c>
    </row>
    <row r="17" spans="1:39">
      <c r="A17" s="60"/>
      <c r="B17" s="49" t="s">
        <v>155</v>
      </c>
      <c r="C17" s="76"/>
      <c r="D17" s="50"/>
      <c r="E17" s="51" t="s">
        <v>220</v>
      </c>
      <c r="F17" s="52"/>
      <c r="G17" s="26">
        <v>1</v>
      </c>
      <c r="H17" s="26">
        <v>2</v>
      </c>
      <c r="I17" s="26">
        <v>2</v>
      </c>
      <c r="J17" s="26">
        <v>1</v>
      </c>
      <c r="K17" s="28">
        <v>0</v>
      </c>
      <c r="L17" s="26">
        <v>0</v>
      </c>
      <c r="M17" s="26">
        <v>0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26">
        <v>0</v>
      </c>
      <c r="Y17" s="26">
        <v>0</v>
      </c>
      <c r="Z17" s="26">
        <v>0</v>
      </c>
      <c r="AA17" s="26">
        <v>0</v>
      </c>
      <c r="AB17" s="26">
        <v>0</v>
      </c>
      <c r="AC17" s="26">
        <v>0</v>
      </c>
      <c r="AD17" s="26">
        <v>0</v>
      </c>
      <c r="AE17" s="26">
        <v>0</v>
      </c>
      <c r="AF17" s="26">
        <v>0</v>
      </c>
      <c r="AG17" s="26">
        <v>0</v>
      </c>
      <c r="AH17" s="26">
        <v>0</v>
      </c>
      <c r="AI17" s="26">
        <v>0</v>
      </c>
      <c r="AJ17" s="26">
        <v>0</v>
      </c>
      <c r="AK17" s="26">
        <v>0</v>
      </c>
      <c r="AL17" s="26">
        <v>0</v>
      </c>
      <c r="AM17" s="26">
        <v>0</v>
      </c>
    </row>
    <row r="18" spans="1:39">
      <c r="A18" s="60"/>
      <c r="B18" s="66"/>
      <c r="C18" s="78"/>
      <c r="D18" s="52"/>
      <c r="E18" s="66"/>
      <c r="F18" s="52"/>
      <c r="G18" s="26"/>
      <c r="H18" s="26"/>
      <c r="I18" s="26"/>
      <c r="J18" s="26"/>
      <c r="K18" s="29">
        <v>1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</row>
    <row r="19" spans="1:39">
      <c r="A19" s="60"/>
      <c r="B19" s="49" t="s">
        <v>21</v>
      </c>
      <c r="C19" s="76"/>
      <c r="D19" s="50"/>
      <c r="E19" s="51" t="s">
        <v>221</v>
      </c>
      <c r="F19" s="52"/>
      <c r="G19" s="26">
        <v>2</v>
      </c>
      <c r="H19" s="26">
        <v>2</v>
      </c>
      <c r="I19" s="26">
        <v>2</v>
      </c>
      <c r="J19" s="26">
        <v>2</v>
      </c>
      <c r="K19" s="28">
        <v>0</v>
      </c>
      <c r="L19" s="3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0</v>
      </c>
      <c r="AE19" s="26">
        <v>0</v>
      </c>
      <c r="AF19" s="26">
        <v>0</v>
      </c>
      <c r="AG19" s="26">
        <v>0</v>
      </c>
      <c r="AH19" s="26">
        <v>0</v>
      </c>
      <c r="AI19" s="26">
        <v>0</v>
      </c>
      <c r="AJ19" s="26">
        <v>0</v>
      </c>
      <c r="AK19" s="26">
        <v>0</v>
      </c>
      <c r="AL19" s="26">
        <v>0</v>
      </c>
      <c r="AM19" s="26">
        <v>0</v>
      </c>
    </row>
    <row r="20" spans="1:39" ht="17.25" customHeight="1">
      <c r="A20" s="60"/>
      <c r="B20" s="59" t="s">
        <v>22</v>
      </c>
      <c r="C20" s="49" t="s">
        <v>156</v>
      </c>
      <c r="D20" s="50"/>
      <c r="E20" s="51" t="s">
        <v>220</v>
      </c>
      <c r="F20" s="52"/>
      <c r="G20" s="26">
        <v>1</v>
      </c>
      <c r="H20" s="26">
        <v>1</v>
      </c>
      <c r="I20" s="26">
        <v>1</v>
      </c>
      <c r="J20" s="26">
        <v>1</v>
      </c>
      <c r="K20" s="26">
        <v>1</v>
      </c>
      <c r="L20" s="28">
        <v>0</v>
      </c>
      <c r="M20" s="26">
        <v>0</v>
      </c>
      <c r="N20" s="26">
        <v>0</v>
      </c>
      <c r="O20" s="26">
        <v>0</v>
      </c>
      <c r="P20" s="26">
        <v>0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>
        <v>0</v>
      </c>
      <c r="W20" s="26">
        <v>0</v>
      </c>
      <c r="X20" s="26">
        <v>0</v>
      </c>
      <c r="Y20" s="26">
        <v>0</v>
      </c>
      <c r="Z20" s="26">
        <v>0</v>
      </c>
      <c r="AA20" s="26">
        <v>0</v>
      </c>
      <c r="AB20" s="26">
        <v>0</v>
      </c>
      <c r="AC20" s="26">
        <v>0</v>
      </c>
      <c r="AD20" s="26">
        <v>0</v>
      </c>
      <c r="AE20" s="26">
        <v>0</v>
      </c>
      <c r="AF20" s="26">
        <v>0</v>
      </c>
      <c r="AG20" s="26">
        <v>0</v>
      </c>
      <c r="AH20" s="26">
        <v>0</v>
      </c>
      <c r="AI20" s="26">
        <v>0</v>
      </c>
      <c r="AJ20" s="26">
        <v>0</v>
      </c>
      <c r="AK20" s="26">
        <v>0</v>
      </c>
      <c r="AL20" s="26">
        <v>0</v>
      </c>
      <c r="AM20" s="26">
        <v>0</v>
      </c>
    </row>
    <row r="21" spans="1:39">
      <c r="A21" s="60"/>
      <c r="B21" s="60"/>
      <c r="C21" s="49" t="s">
        <v>157</v>
      </c>
      <c r="D21" s="50"/>
      <c r="E21" s="51" t="s">
        <v>220</v>
      </c>
      <c r="F21" s="52"/>
      <c r="G21" s="26">
        <v>2</v>
      </c>
      <c r="H21" s="26">
        <v>2</v>
      </c>
      <c r="I21" s="26">
        <v>2</v>
      </c>
      <c r="J21" s="26">
        <v>2</v>
      </c>
      <c r="K21" s="26">
        <v>2</v>
      </c>
      <c r="L21" s="28">
        <v>0</v>
      </c>
      <c r="M21" s="26">
        <v>0</v>
      </c>
      <c r="N21" s="26">
        <v>0</v>
      </c>
      <c r="O21" s="26">
        <v>0</v>
      </c>
      <c r="P21" s="26">
        <v>0</v>
      </c>
      <c r="Q21" s="26">
        <v>0</v>
      </c>
      <c r="R21" s="26">
        <v>0</v>
      </c>
      <c r="S21" s="26">
        <v>0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0</v>
      </c>
      <c r="AC21" s="26">
        <v>0</v>
      </c>
      <c r="AD21" s="26">
        <v>0</v>
      </c>
      <c r="AE21" s="26">
        <v>0</v>
      </c>
      <c r="AF21" s="26">
        <v>0</v>
      </c>
      <c r="AG21" s="26">
        <v>0</v>
      </c>
      <c r="AH21" s="26">
        <v>0</v>
      </c>
      <c r="AI21" s="26">
        <v>0</v>
      </c>
      <c r="AJ21" s="26">
        <v>0</v>
      </c>
      <c r="AK21" s="26">
        <v>0</v>
      </c>
      <c r="AL21" s="26">
        <v>0</v>
      </c>
      <c r="AM21" s="26">
        <v>0</v>
      </c>
    </row>
    <row r="22" spans="1:39">
      <c r="A22" s="60"/>
      <c r="B22" s="60"/>
      <c r="C22" s="49" t="s">
        <v>158</v>
      </c>
      <c r="D22" s="50"/>
      <c r="E22" s="51" t="s">
        <v>220</v>
      </c>
      <c r="F22" s="52"/>
      <c r="G22" s="26">
        <v>1</v>
      </c>
      <c r="H22" s="26">
        <v>1</v>
      </c>
      <c r="I22" s="26">
        <v>1</v>
      </c>
      <c r="J22" s="26">
        <v>1</v>
      </c>
      <c r="K22" s="26">
        <v>1</v>
      </c>
      <c r="L22" s="28">
        <v>0</v>
      </c>
      <c r="M22" s="3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0</v>
      </c>
      <c r="U22" s="26">
        <v>0</v>
      </c>
      <c r="V22" s="26">
        <v>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0</v>
      </c>
      <c r="AC22" s="26">
        <v>0</v>
      </c>
      <c r="AD22" s="26">
        <v>0</v>
      </c>
      <c r="AE22" s="26">
        <v>0</v>
      </c>
      <c r="AF22" s="26">
        <v>0</v>
      </c>
      <c r="AG22" s="26">
        <v>0</v>
      </c>
      <c r="AH22" s="26">
        <v>0</v>
      </c>
      <c r="AI22" s="26">
        <v>0</v>
      </c>
      <c r="AJ22" s="26">
        <v>0</v>
      </c>
      <c r="AK22" s="26">
        <v>0</v>
      </c>
      <c r="AL22" s="26">
        <v>0</v>
      </c>
      <c r="AM22" s="26">
        <v>0</v>
      </c>
    </row>
    <row r="23" spans="1:39">
      <c r="A23" s="60"/>
      <c r="B23" s="60"/>
      <c r="C23" s="49" t="s">
        <v>159</v>
      </c>
      <c r="D23" s="50"/>
      <c r="E23" s="51" t="s">
        <v>220</v>
      </c>
      <c r="F23" s="52"/>
      <c r="G23" s="26">
        <v>1</v>
      </c>
      <c r="H23" s="26">
        <v>1</v>
      </c>
      <c r="I23" s="26">
        <v>1</v>
      </c>
      <c r="J23" s="26">
        <v>1</v>
      </c>
      <c r="K23" s="26">
        <v>1</v>
      </c>
      <c r="L23" s="28">
        <v>0</v>
      </c>
      <c r="M23" s="36">
        <v>0</v>
      </c>
      <c r="N23" s="26">
        <v>0</v>
      </c>
      <c r="O23" s="26">
        <v>0</v>
      </c>
      <c r="P23" s="26">
        <v>0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0</v>
      </c>
      <c r="W23" s="26">
        <v>0</v>
      </c>
      <c r="X23" s="26">
        <v>0</v>
      </c>
      <c r="Y23" s="26">
        <v>0</v>
      </c>
      <c r="Z23" s="26">
        <v>0</v>
      </c>
      <c r="AA23" s="26">
        <v>0</v>
      </c>
      <c r="AB23" s="26">
        <v>0</v>
      </c>
      <c r="AC23" s="26">
        <v>0</v>
      </c>
      <c r="AD23" s="26">
        <v>0</v>
      </c>
      <c r="AE23" s="26">
        <v>0</v>
      </c>
      <c r="AF23" s="26">
        <v>0</v>
      </c>
      <c r="AG23" s="26">
        <v>0</v>
      </c>
      <c r="AH23" s="26">
        <v>0</v>
      </c>
      <c r="AI23" s="26">
        <v>0</v>
      </c>
      <c r="AJ23" s="26">
        <v>0</v>
      </c>
      <c r="AK23" s="26">
        <v>0</v>
      </c>
      <c r="AL23" s="26">
        <v>0</v>
      </c>
      <c r="AM23" s="26">
        <v>0</v>
      </c>
    </row>
    <row r="24" spans="1:39">
      <c r="A24" s="60"/>
      <c r="B24" s="60"/>
      <c r="C24" s="55" t="s">
        <v>160</v>
      </c>
      <c r="D24" s="56"/>
      <c r="E24" s="51" t="s">
        <v>220</v>
      </c>
      <c r="F24" s="52"/>
      <c r="G24" s="26">
        <v>2</v>
      </c>
      <c r="H24" s="26">
        <v>1</v>
      </c>
      <c r="I24" s="26">
        <v>1</v>
      </c>
      <c r="J24" s="26">
        <v>1</v>
      </c>
      <c r="K24" s="26">
        <v>1</v>
      </c>
      <c r="L24" s="28">
        <v>0</v>
      </c>
      <c r="M24" s="36">
        <v>0</v>
      </c>
      <c r="N24" s="26">
        <v>0</v>
      </c>
      <c r="O24" s="26">
        <v>0</v>
      </c>
      <c r="P24" s="26">
        <v>0</v>
      </c>
      <c r="Q24" s="26">
        <v>0</v>
      </c>
      <c r="R24" s="26">
        <v>0</v>
      </c>
      <c r="S24" s="26">
        <v>0</v>
      </c>
      <c r="T24" s="26">
        <v>0</v>
      </c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26">
        <v>0</v>
      </c>
      <c r="AE24" s="26">
        <v>0</v>
      </c>
      <c r="AF24" s="26">
        <v>0</v>
      </c>
      <c r="AG24" s="26">
        <v>0</v>
      </c>
      <c r="AH24" s="26">
        <v>0</v>
      </c>
      <c r="AI24" s="26">
        <v>0</v>
      </c>
      <c r="AJ24" s="26">
        <v>0</v>
      </c>
      <c r="AK24" s="26">
        <v>0</v>
      </c>
      <c r="AL24" s="26">
        <v>0</v>
      </c>
      <c r="AM24" s="26">
        <v>0</v>
      </c>
    </row>
    <row r="25" spans="1:39">
      <c r="A25" s="60"/>
      <c r="B25" s="60"/>
      <c r="C25" s="55" t="s">
        <v>161</v>
      </c>
      <c r="D25" s="56"/>
      <c r="E25" s="51" t="s">
        <v>220</v>
      </c>
      <c r="F25" s="52"/>
      <c r="G25" s="26">
        <v>3</v>
      </c>
      <c r="H25" s="26">
        <v>1</v>
      </c>
      <c r="I25" s="26">
        <v>1</v>
      </c>
      <c r="J25" s="26">
        <v>1</v>
      </c>
      <c r="K25" s="26">
        <v>1</v>
      </c>
      <c r="L25" s="26">
        <v>1</v>
      </c>
      <c r="M25" s="28">
        <v>0</v>
      </c>
      <c r="N25" s="26">
        <v>0</v>
      </c>
      <c r="O25" s="26">
        <v>0</v>
      </c>
      <c r="P25" s="26">
        <v>0</v>
      </c>
      <c r="Q25" s="26">
        <v>0</v>
      </c>
      <c r="R25" s="26">
        <v>0</v>
      </c>
      <c r="S25" s="26">
        <v>0</v>
      </c>
      <c r="T25" s="26">
        <v>0</v>
      </c>
      <c r="U25" s="26">
        <v>0</v>
      </c>
      <c r="V25" s="26">
        <v>0</v>
      </c>
      <c r="W25" s="26">
        <v>0</v>
      </c>
      <c r="X25" s="26">
        <v>0</v>
      </c>
      <c r="Y25" s="26">
        <v>0</v>
      </c>
      <c r="Z25" s="26">
        <v>0</v>
      </c>
      <c r="AA25" s="26">
        <v>0</v>
      </c>
      <c r="AB25" s="26">
        <v>0</v>
      </c>
      <c r="AC25" s="26">
        <v>0</v>
      </c>
      <c r="AD25" s="26">
        <v>0</v>
      </c>
      <c r="AE25" s="26">
        <v>0</v>
      </c>
      <c r="AF25" s="26">
        <v>0</v>
      </c>
      <c r="AG25" s="26">
        <v>0</v>
      </c>
      <c r="AH25" s="26">
        <v>0</v>
      </c>
      <c r="AI25" s="26">
        <v>0</v>
      </c>
      <c r="AJ25" s="26">
        <v>0</v>
      </c>
      <c r="AK25" s="26">
        <v>0</v>
      </c>
      <c r="AL25" s="26">
        <v>0</v>
      </c>
      <c r="AM25" s="26">
        <v>0</v>
      </c>
    </row>
    <row r="26" spans="1:39">
      <c r="A26" s="60"/>
      <c r="B26" s="60"/>
      <c r="C26" s="55" t="s">
        <v>162</v>
      </c>
      <c r="D26" s="56"/>
      <c r="E26" s="51" t="s">
        <v>220</v>
      </c>
      <c r="F26" s="52"/>
      <c r="G26" s="26">
        <v>2</v>
      </c>
      <c r="H26" s="26">
        <v>1</v>
      </c>
      <c r="I26" s="26">
        <v>1</v>
      </c>
      <c r="J26" s="26">
        <v>1</v>
      </c>
      <c r="K26" s="26">
        <v>1</v>
      </c>
      <c r="L26" s="26">
        <v>1</v>
      </c>
      <c r="M26" s="28">
        <v>0</v>
      </c>
      <c r="N26" s="26">
        <v>0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0</v>
      </c>
      <c r="AE26" s="26">
        <v>0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6">
        <v>0</v>
      </c>
      <c r="AM26" s="26">
        <v>0</v>
      </c>
    </row>
    <row r="27" spans="1:39">
      <c r="A27" s="60"/>
      <c r="B27" s="60"/>
      <c r="C27" s="55" t="s">
        <v>163</v>
      </c>
      <c r="D27" s="56"/>
      <c r="E27" s="51" t="s">
        <v>220</v>
      </c>
      <c r="F27" s="52"/>
      <c r="G27" s="26">
        <v>1</v>
      </c>
      <c r="H27" s="26">
        <v>1</v>
      </c>
      <c r="I27" s="26">
        <v>1</v>
      </c>
      <c r="J27" s="26">
        <v>1</v>
      </c>
      <c r="K27" s="26">
        <v>1</v>
      </c>
      <c r="L27" s="26">
        <v>1</v>
      </c>
      <c r="M27" s="28">
        <v>0</v>
      </c>
      <c r="N27" s="26">
        <v>0</v>
      </c>
      <c r="O27" s="26">
        <v>0</v>
      </c>
      <c r="P27" s="26">
        <v>0</v>
      </c>
      <c r="Q27" s="26">
        <v>0</v>
      </c>
      <c r="R27" s="26">
        <v>0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0</v>
      </c>
      <c r="AE27" s="26">
        <v>0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6">
        <v>0</v>
      </c>
      <c r="AM27" s="26">
        <v>0</v>
      </c>
    </row>
    <row r="28" spans="1:39">
      <c r="A28" s="60"/>
      <c r="B28" s="60"/>
      <c r="C28" s="55" t="s">
        <v>164</v>
      </c>
      <c r="D28" s="56"/>
      <c r="E28" s="51" t="s">
        <v>220</v>
      </c>
      <c r="F28" s="52"/>
      <c r="G28" s="26">
        <v>1</v>
      </c>
      <c r="H28" s="26">
        <v>1</v>
      </c>
      <c r="I28" s="26">
        <v>1</v>
      </c>
      <c r="J28" s="26">
        <v>1</v>
      </c>
      <c r="K28" s="26">
        <v>1</v>
      </c>
      <c r="L28" s="26">
        <v>1</v>
      </c>
      <c r="M28" s="28">
        <v>0</v>
      </c>
      <c r="N28" s="26">
        <v>0</v>
      </c>
      <c r="O28" s="26">
        <v>0</v>
      </c>
      <c r="P28" s="26">
        <v>0</v>
      </c>
      <c r="Q28" s="26">
        <v>0</v>
      </c>
      <c r="R28" s="26">
        <v>0</v>
      </c>
      <c r="S28" s="26">
        <v>0</v>
      </c>
      <c r="T28" s="26">
        <v>0</v>
      </c>
      <c r="U28" s="26">
        <v>0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0</v>
      </c>
      <c r="AC28" s="26">
        <v>0</v>
      </c>
      <c r="AD28" s="26">
        <v>0</v>
      </c>
      <c r="AE28" s="26">
        <v>0</v>
      </c>
      <c r="AF28" s="26">
        <v>0</v>
      </c>
      <c r="AG28" s="26">
        <v>0</v>
      </c>
      <c r="AH28" s="26">
        <v>0</v>
      </c>
      <c r="AI28" s="26">
        <v>0</v>
      </c>
      <c r="AJ28" s="26">
        <v>0</v>
      </c>
      <c r="AK28" s="26">
        <v>0</v>
      </c>
      <c r="AL28" s="26">
        <v>0</v>
      </c>
      <c r="AM28" s="26">
        <v>0</v>
      </c>
    </row>
    <row r="29" spans="1:39">
      <c r="A29" s="60"/>
      <c r="B29" s="60"/>
      <c r="C29" s="49" t="s">
        <v>232</v>
      </c>
      <c r="D29" s="50"/>
      <c r="E29" s="51" t="s">
        <v>220</v>
      </c>
      <c r="F29" s="79"/>
      <c r="G29" s="26">
        <v>1</v>
      </c>
      <c r="H29" s="26">
        <v>1</v>
      </c>
      <c r="I29" s="26">
        <v>1</v>
      </c>
      <c r="J29" s="26">
        <v>1</v>
      </c>
      <c r="K29" s="26">
        <v>1</v>
      </c>
      <c r="L29" s="26">
        <v>1</v>
      </c>
      <c r="M29" s="26">
        <v>1</v>
      </c>
      <c r="N29" s="28">
        <v>0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0</v>
      </c>
      <c r="AC29" s="26">
        <v>0</v>
      </c>
      <c r="AD29" s="26">
        <v>0</v>
      </c>
      <c r="AE29" s="26">
        <v>0</v>
      </c>
      <c r="AF29" s="26">
        <v>0</v>
      </c>
      <c r="AG29" s="26">
        <v>0</v>
      </c>
      <c r="AH29" s="26">
        <v>0</v>
      </c>
      <c r="AI29" s="26">
        <v>0</v>
      </c>
      <c r="AJ29" s="26">
        <v>0</v>
      </c>
      <c r="AK29" s="26">
        <v>0</v>
      </c>
      <c r="AL29" s="26">
        <v>0</v>
      </c>
      <c r="AM29" s="26">
        <v>0</v>
      </c>
    </row>
    <row r="30" spans="1:39">
      <c r="A30" s="60"/>
      <c r="B30" s="60"/>
      <c r="C30" s="49" t="s">
        <v>233</v>
      </c>
      <c r="D30" s="50"/>
      <c r="E30" s="51" t="s">
        <v>220</v>
      </c>
      <c r="F30" s="79"/>
      <c r="G30" s="26">
        <v>1</v>
      </c>
      <c r="H30" s="26">
        <v>1</v>
      </c>
      <c r="I30" s="26">
        <v>1</v>
      </c>
      <c r="J30" s="26">
        <v>1</v>
      </c>
      <c r="K30" s="26">
        <v>1</v>
      </c>
      <c r="L30" s="26">
        <v>1</v>
      </c>
      <c r="M30" s="26">
        <v>1</v>
      </c>
      <c r="N30" s="28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>
        <v>0</v>
      </c>
      <c r="AG30" s="26">
        <v>0</v>
      </c>
      <c r="AH30" s="26">
        <v>0</v>
      </c>
      <c r="AI30" s="26">
        <v>0</v>
      </c>
      <c r="AJ30" s="26">
        <v>0</v>
      </c>
      <c r="AK30" s="26">
        <v>0</v>
      </c>
      <c r="AL30" s="26">
        <v>0</v>
      </c>
      <c r="AM30" s="26">
        <v>0</v>
      </c>
    </row>
    <row r="31" spans="1:39">
      <c r="A31" s="60"/>
      <c r="B31" s="60"/>
      <c r="C31" s="49" t="s">
        <v>165</v>
      </c>
      <c r="D31" s="50"/>
      <c r="E31" s="51" t="s">
        <v>222</v>
      </c>
      <c r="F31" s="52"/>
      <c r="G31" s="26">
        <v>9</v>
      </c>
      <c r="H31" s="26">
        <v>10</v>
      </c>
      <c r="I31" s="26">
        <v>10</v>
      </c>
      <c r="J31" s="26">
        <v>10</v>
      </c>
      <c r="K31" s="26">
        <v>10</v>
      </c>
      <c r="L31" s="26">
        <v>10</v>
      </c>
      <c r="M31" s="26">
        <v>9</v>
      </c>
      <c r="N31" s="28">
        <v>0</v>
      </c>
      <c r="O31" s="26">
        <v>0</v>
      </c>
      <c r="P31" s="26">
        <v>0</v>
      </c>
      <c r="Q31" s="26">
        <v>0</v>
      </c>
      <c r="R31" s="26">
        <v>0</v>
      </c>
      <c r="S31" s="26">
        <v>0</v>
      </c>
      <c r="T31" s="26">
        <v>0</v>
      </c>
      <c r="U31" s="26">
        <v>0</v>
      </c>
      <c r="V31" s="26">
        <v>0</v>
      </c>
      <c r="W31" s="26">
        <v>0</v>
      </c>
      <c r="X31" s="26">
        <v>0</v>
      </c>
      <c r="Y31" s="26">
        <v>0</v>
      </c>
      <c r="Z31" s="26">
        <v>0</v>
      </c>
      <c r="AA31" s="26">
        <v>0</v>
      </c>
      <c r="AB31" s="26">
        <v>0</v>
      </c>
      <c r="AC31" s="26">
        <v>0</v>
      </c>
      <c r="AD31" s="26">
        <v>0</v>
      </c>
      <c r="AE31" s="26">
        <v>0</v>
      </c>
      <c r="AF31" s="26">
        <v>0</v>
      </c>
      <c r="AG31" s="26">
        <v>0</v>
      </c>
      <c r="AH31" s="26">
        <v>0</v>
      </c>
      <c r="AI31" s="26">
        <v>0</v>
      </c>
      <c r="AJ31" s="26">
        <v>0</v>
      </c>
      <c r="AK31" s="26">
        <v>0</v>
      </c>
      <c r="AL31" s="26">
        <v>0</v>
      </c>
      <c r="AM31" s="26">
        <v>0</v>
      </c>
    </row>
    <row r="32" spans="1:39">
      <c r="A32" s="60"/>
      <c r="B32" s="61"/>
      <c r="C32" s="66"/>
      <c r="D32" s="52"/>
      <c r="E32" s="66"/>
      <c r="F32" s="52"/>
      <c r="G32" s="26"/>
      <c r="H32" s="26"/>
      <c r="I32" s="26"/>
      <c r="J32" s="26"/>
      <c r="K32" s="26"/>
      <c r="L32" s="26"/>
      <c r="M32" s="26"/>
      <c r="N32" s="29">
        <v>1</v>
      </c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</row>
    <row r="33" spans="1:39">
      <c r="A33" s="60"/>
      <c r="B33" s="59" t="s">
        <v>32</v>
      </c>
      <c r="C33" s="49" t="s">
        <v>166</v>
      </c>
      <c r="D33" s="50"/>
      <c r="E33" s="51" t="s">
        <v>216</v>
      </c>
      <c r="F33" s="52"/>
      <c r="G33" s="26">
        <v>1</v>
      </c>
      <c r="H33" s="26">
        <v>1</v>
      </c>
      <c r="I33" s="26">
        <v>1</v>
      </c>
      <c r="J33" s="26">
        <v>1</v>
      </c>
      <c r="K33" s="26">
        <v>1</v>
      </c>
      <c r="L33" s="26">
        <v>1</v>
      </c>
      <c r="M33" s="26">
        <v>1</v>
      </c>
      <c r="N33" s="26">
        <v>1</v>
      </c>
      <c r="O33" s="28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26">
        <v>0</v>
      </c>
      <c r="AJ33" s="26">
        <v>0</v>
      </c>
      <c r="AK33" s="26">
        <v>0</v>
      </c>
      <c r="AL33" s="26">
        <v>0</v>
      </c>
      <c r="AM33" s="26">
        <v>0</v>
      </c>
    </row>
    <row r="34" spans="1:39">
      <c r="A34" s="60"/>
      <c r="B34" s="60"/>
      <c r="C34" s="49" t="s">
        <v>167</v>
      </c>
      <c r="D34" s="50"/>
      <c r="E34" s="51" t="s">
        <v>216</v>
      </c>
      <c r="F34" s="52"/>
      <c r="G34" s="26">
        <v>2</v>
      </c>
      <c r="H34" s="26">
        <v>2</v>
      </c>
      <c r="I34" s="26">
        <v>1</v>
      </c>
      <c r="J34" s="26">
        <v>1</v>
      </c>
      <c r="K34" s="26">
        <v>1</v>
      </c>
      <c r="L34" s="26">
        <v>1</v>
      </c>
      <c r="M34" s="26">
        <v>1</v>
      </c>
      <c r="N34" s="26">
        <v>1</v>
      </c>
      <c r="O34" s="28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26">
        <v>0</v>
      </c>
      <c r="AJ34" s="26">
        <v>0</v>
      </c>
      <c r="AK34" s="26">
        <v>0</v>
      </c>
      <c r="AL34" s="26">
        <v>0</v>
      </c>
      <c r="AM34" s="26">
        <v>0</v>
      </c>
    </row>
    <row r="35" spans="1:39">
      <c r="A35" s="60"/>
      <c r="B35" s="60"/>
      <c r="C35" s="49" t="s">
        <v>168</v>
      </c>
      <c r="D35" s="50"/>
      <c r="E35" s="51" t="s">
        <v>216</v>
      </c>
      <c r="F35" s="52"/>
      <c r="G35" s="26">
        <v>2</v>
      </c>
      <c r="H35" s="26">
        <v>2</v>
      </c>
      <c r="I35" s="26">
        <v>1</v>
      </c>
      <c r="J35" s="26">
        <v>1</v>
      </c>
      <c r="K35" s="26">
        <v>1</v>
      </c>
      <c r="L35" s="26">
        <v>1</v>
      </c>
      <c r="M35" s="26">
        <v>1</v>
      </c>
      <c r="N35" s="26">
        <v>1</v>
      </c>
      <c r="O35" s="28">
        <v>0</v>
      </c>
      <c r="P35" s="36">
        <v>0</v>
      </c>
      <c r="Q35" s="26">
        <v>0</v>
      </c>
      <c r="R35" s="26">
        <v>0</v>
      </c>
      <c r="S35" s="26">
        <v>0</v>
      </c>
      <c r="T35" s="26">
        <v>0</v>
      </c>
      <c r="U35" s="26">
        <v>0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0</v>
      </c>
      <c r="AB35" s="26">
        <v>0</v>
      </c>
      <c r="AC35" s="26">
        <v>0</v>
      </c>
      <c r="AD35" s="26">
        <v>0</v>
      </c>
      <c r="AE35" s="26">
        <v>0</v>
      </c>
      <c r="AF35" s="26">
        <v>0</v>
      </c>
      <c r="AG35" s="26">
        <v>0</v>
      </c>
      <c r="AH35" s="26">
        <v>0</v>
      </c>
      <c r="AI35" s="26">
        <v>0</v>
      </c>
      <c r="AJ35" s="26">
        <v>0</v>
      </c>
      <c r="AK35" s="26">
        <v>0</v>
      </c>
      <c r="AL35" s="26">
        <v>0</v>
      </c>
      <c r="AM35" s="26">
        <v>0</v>
      </c>
    </row>
    <row r="36" spans="1:39">
      <c r="A36" s="60"/>
      <c r="B36" s="60"/>
      <c r="C36" s="49" t="s">
        <v>169</v>
      </c>
      <c r="D36" s="50"/>
      <c r="E36" s="51" t="s">
        <v>216</v>
      </c>
      <c r="F36" s="52"/>
      <c r="G36" s="26">
        <v>1</v>
      </c>
      <c r="H36" s="26">
        <v>1</v>
      </c>
      <c r="I36" s="26">
        <v>1</v>
      </c>
      <c r="J36" s="26">
        <v>1</v>
      </c>
      <c r="K36" s="26">
        <v>1</v>
      </c>
      <c r="L36" s="26">
        <v>1</v>
      </c>
      <c r="M36" s="26">
        <v>1</v>
      </c>
      <c r="N36" s="26">
        <v>1</v>
      </c>
      <c r="O36" s="28">
        <v>0</v>
      </c>
      <c r="P36" s="3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6">
        <v>0</v>
      </c>
      <c r="AM36" s="26">
        <v>0</v>
      </c>
    </row>
    <row r="37" spans="1:39">
      <c r="A37" s="60"/>
      <c r="B37" s="60"/>
      <c r="C37" s="55" t="s">
        <v>170</v>
      </c>
      <c r="D37" s="56"/>
      <c r="E37" s="51" t="s">
        <v>216</v>
      </c>
      <c r="F37" s="52"/>
      <c r="G37" s="26">
        <v>1</v>
      </c>
      <c r="H37" s="26">
        <v>1</v>
      </c>
      <c r="I37" s="26">
        <v>1</v>
      </c>
      <c r="J37" s="26">
        <v>1</v>
      </c>
      <c r="K37" s="26">
        <v>1</v>
      </c>
      <c r="L37" s="26">
        <v>1</v>
      </c>
      <c r="M37" s="26">
        <v>1</v>
      </c>
      <c r="N37" s="26">
        <v>1</v>
      </c>
      <c r="O37" s="26">
        <v>1</v>
      </c>
      <c r="P37" s="28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6">
        <v>0</v>
      </c>
      <c r="AM37" s="26">
        <v>0</v>
      </c>
    </row>
    <row r="38" spans="1:39">
      <c r="A38" s="60"/>
      <c r="B38" s="60"/>
      <c r="C38" s="49" t="s">
        <v>171</v>
      </c>
      <c r="D38" s="50"/>
      <c r="E38" s="51" t="s">
        <v>216</v>
      </c>
      <c r="F38" s="52"/>
      <c r="G38" s="26">
        <v>1</v>
      </c>
      <c r="H38" s="26">
        <v>1</v>
      </c>
      <c r="I38" s="26">
        <v>1</v>
      </c>
      <c r="J38" s="26">
        <v>1</v>
      </c>
      <c r="K38" s="26">
        <v>1</v>
      </c>
      <c r="L38" s="26">
        <v>1</v>
      </c>
      <c r="M38" s="26">
        <v>1</v>
      </c>
      <c r="N38" s="26">
        <v>1</v>
      </c>
      <c r="O38" s="26">
        <v>1</v>
      </c>
      <c r="P38" s="28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  <c r="AC38" s="26">
        <v>0</v>
      </c>
      <c r="AD38" s="26">
        <v>0</v>
      </c>
      <c r="AE38" s="26">
        <v>0</v>
      </c>
      <c r="AF38" s="26">
        <v>0</v>
      </c>
      <c r="AG38" s="26">
        <v>0</v>
      </c>
      <c r="AH38" s="26">
        <v>0</v>
      </c>
      <c r="AI38" s="26">
        <v>0</v>
      </c>
      <c r="AJ38" s="26">
        <v>0</v>
      </c>
      <c r="AK38" s="26">
        <v>0</v>
      </c>
      <c r="AL38" s="26">
        <v>0</v>
      </c>
      <c r="AM38" s="26">
        <v>0</v>
      </c>
    </row>
    <row r="39" spans="1:39">
      <c r="A39" s="60"/>
      <c r="B39" s="60"/>
      <c r="C39" s="49" t="s">
        <v>172</v>
      </c>
      <c r="D39" s="50"/>
      <c r="E39" s="51" t="s">
        <v>216</v>
      </c>
      <c r="F39" s="52"/>
      <c r="G39" s="26">
        <v>1</v>
      </c>
      <c r="H39" s="26">
        <v>1</v>
      </c>
      <c r="I39" s="26">
        <v>1</v>
      </c>
      <c r="J39" s="26">
        <v>1</v>
      </c>
      <c r="K39" s="26">
        <v>1</v>
      </c>
      <c r="L39" s="26">
        <v>1</v>
      </c>
      <c r="M39" s="26">
        <v>1</v>
      </c>
      <c r="N39" s="26">
        <v>1</v>
      </c>
      <c r="O39" s="26">
        <v>1</v>
      </c>
      <c r="P39" s="28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  <c r="AC39" s="26">
        <v>0</v>
      </c>
      <c r="AD39" s="26">
        <v>0</v>
      </c>
      <c r="AE39" s="26">
        <v>0</v>
      </c>
      <c r="AF39" s="26">
        <v>0</v>
      </c>
      <c r="AG39" s="26">
        <v>0</v>
      </c>
      <c r="AH39" s="26">
        <v>0</v>
      </c>
      <c r="AI39" s="26">
        <v>0</v>
      </c>
      <c r="AJ39" s="26">
        <v>0</v>
      </c>
      <c r="AK39" s="26">
        <v>0</v>
      </c>
      <c r="AL39" s="26">
        <v>0</v>
      </c>
      <c r="AM39" s="26">
        <v>0</v>
      </c>
    </row>
    <row r="40" spans="1:39">
      <c r="A40" s="60"/>
      <c r="B40" s="60"/>
      <c r="C40" s="55" t="s">
        <v>173</v>
      </c>
      <c r="D40" s="56"/>
      <c r="E40" s="51" t="s">
        <v>216</v>
      </c>
      <c r="F40" s="52"/>
      <c r="G40" s="26">
        <v>1</v>
      </c>
      <c r="H40" s="26">
        <v>1</v>
      </c>
      <c r="I40" s="26">
        <v>1</v>
      </c>
      <c r="J40" s="26">
        <v>1</v>
      </c>
      <c r="K40" s="26">
        <v>1</v>
      </c>
      <c r="L40" s="26">
        <v>1</v>
      </c>
      <c r="M40" s="26">
        <v>1</v>
      </c>
      <c r="N40" s="26">
        <v>1</v>
      </c>
      <c r="O40" s="26">
        <v>1</v>
      </c>
      <c r="P40" s="28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6">
        <v>0</v>
      </c>
      <c r="AM40" s="26">
        <v>0</v>
      </c>
    </row>
    <row r="41" spans="1:39">
      <c r="A41" s="60"/>
      <c r="B41" s="60"/>
      <c r="C41" s="55" t="s">
        <v>174</v>
      </c>
      <c r="D41" s="56"/>
      <c r="E41" s="51" t="s">
        <v>216</v>
      </c>
      <c r="F41" s="52"/>
      <c r="G41" s="26">
        <v>1</v>
      </c>
      <c r="H41" s="26">
        <v>1</v>
      </c>
      <c r="I41" s="26">
        <v>1</v>
      </c>
      <c r="J41" s="26">
        <v>1</v>
      </c>
      <c r="K41" s="26">
        <v>1</v>
      </c>
      <c r="L41" s="26">
        <v>1</v>
      </c>
      <c r="M41" s="26">
        <v>1</v>
      </c>
      <c r="N41" s="26">
        <v>1</v>
      </c>
      <c r="O41" s="26">
        <v>1</v>
      </c>
      <c r="P41" s="28">
        <v>0</v>
      </c>
      <c r="Q41" s="26">
        <v>0</v>
      </c>
      <c r="R41" s="26">
        <v>0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  <c r="X41" s="26">
        <v>0</v>
      </c>
      <c r="Y41" s="26">
        <v>0</v>
      </c>
      <c r="Z41" s="26">
        <v>0</v>
      </c>
      <c r="AA41" s="26">
        <v>0</v>
      </c>
      <c r="AB41" s="26">
        <v>0</v>
      </c>
      <c r="AC41" s="26">
        <v>0</v>
      </c>
      <c r="AD41" s="26">
        <v>0</v>
      </c>
      <c r="AE41" s="26">
        <v>0</v>
      </c>
      <c r="AF41" s="26">
        <v>0</v>
      </c>
      <c r="AG41" s="26">
        <v>0</v>
      </c>
      <c r="AH41" s="26">
        <v>0</v>
      </c>
      <c r="AI41" s="26">
        <v>0</v>
      </c>
      <c r="AJ41" s="26">
        <v>0</v>
      </c>
      <c r="AK41" s="26">
        <v>0</v>
      </c>
      <c r="AL41" s="26">
        <v>0</v>
      </c>
      <c r="AM41" s="26">
        <v>0</v>
      </c>
    </row>
    <row r="42" spans="1:39">
      <c r="A42" s="60"/>
      <c r="B42" s="60"/>
      <c r="C42" s="49" t="s">
        <v>234</v>
      </c>
      <c r="D42" s="50"/>
      <c r="E42" s="51" t="s">
        <v>216</v>
      </c>
      <c r="F42" s="52"/>
      <c r="G42" s="26">
        <v>1</v>
      </c>
      <c r="H42" s="26">
        <v>1</v>
      </c>
      <c r="I42" s="26">
        <v>1</v>
      </c>
      <c r="J42" s="26">
        <v>1</v>
      </c>
      <c r="K42" s="26">
        <v>1</v>
      </c>
      <c r="L42" s="26">
        <v>1</v>
      </c>
      <c r="M42" s="26">
        <v>1</v>
      </c>
      <c r="N42" s="26">
        <v>1</v>
      </c>
      <c r="O42" s="26">
        <v>1</v>
      </c>
      <c r="P42" s="26">
        <v>1</v>
      </c>
      <c r="Q42" s="28">
        <v>0</v>
      </c>
      <c r="R42" s="26">
        <v>0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6">
        <v>0</v>
      </c>
      <c r="Z42" s="26">
        <v>0</v>
      </c>
      <c r="AA42" s="26">
        <v>0</v>
      </c>
      <c r="AB42" s="26">
        <v>0</v>
      </c>
      <c r="AC42" s="26">
        <v>0</v>
      </c>
      <c r="AD42" s="26">
        <v>0</v>
      </c>
      <c r="AE42" s="26">
        <v>0</v>
      </c>
      <c r="AF42" s="26">
        <v>0</v>
      </c>
      <c r="AG42" s="26">
        <v>0</v>
      </c>
      <c r="AH42" s="26">
        <v>0</v>
      </c>
      <c r="AI42" s="26">
        <v>0</v>
      </c>
      <c r="AJ42" s="26">
        <v>0</v>
      </c>
      <c r="AK42" s="26">
        <v>0</v>
      </c>
      <c r="AL42" s="26">
        <v>0</v>
      </c>
      <c r="AM42" s="26">
        <v>0</v>
      </c>
    </row>
    <row r="43" spans="1:39">
      <c r="A43" s="60"/>
      <c r="B43" s="60"/>
      <c r="C43" s="49" t="s">
        <v>235</v>
      </c>
      <c r="D43" s="50"/>
      <c r="E43" s="51" t="s">
        <v>216</v>
      </c>
      <c r="F43" s="52"/>
      <c r="G43" s="26">
        <v>1</v>
      </c>
      <c r="H43" s="26">
        <v>1</v>
      </c>
      <c r="I43" s="26">
        <v>1</v>
      </c>
      <c r="J43" s="26">
        <v>1</v>
      </c>
      <c r="K43" s="26">
        <v>1</v>
      </c>
      <c r="L43" s="26">
        <v>1</v>
      </c>
      <c r="M43" s="26">
        <v>1</v>
      </c>
      <c r="N43" s="26">
        <v>1</v>
      </c>
      <c r="O43" s="26">
        <v>1</v>
      </c>
      <c r="P43" s="26">
        <v>1</v>
      </c>
      <c r="Q43" s="28">
        <v>0</v>
      </c>
      <c r="R43" s="26">
        <v>0</v>
      </c>
      <c r="S43" s="26">
        <v>0</v>
      </c>
      <c r="T43" s="26">
        <v>0</v>
      </c>
      <c r="U43" s="26">
        <v>0</v>
      </c>
      <c r="V43" s="26">
        <v>0</v>
      </c>
      <c r="W43" s="26">
        <v>0</v>
      </c>
      <c r="X43" s="26">
        <v>0</v>
      </c>
      <c r="Y43" s="26">
        <v>0</v>
      </c>
      <c r="Z43" s="26">
        <v>0</v>
      </c>
      <c r="AA43" s="26">
        <v>0</v>
      </c>
      <c r="AB43" s="26">
        <v>0</v>
      </c>
      <c r="AC43" s="26">
        <v>0</v>
      </c>
      <c r="AD43" s="26">
        <v>0</v>
      </c>
      <c r="AE43" s="26">
        <v>0</v>
      </c>
      <c r="AF43" s="26">
        <v>0</v>
      </c>
      <c r="AG43" s="26">
        <v>0</v>
      </c>
      <c r="AH43" s="26">
        <v>0</v>
      </c>
      <c r="AI43" s="26">
        <v>0</v>
      </c>
      <c r="AJ43" s="26">
        <v>0</v>
      </c>
      <c r="AK43" s="26">
        <v>0</v>
      </c>
      <c r="AL43" s="26">
        <v>0</v>
      </c>
      <c r="AM43" s="26">
        <v>0</v>
      </c>
    </row>
    <row r="44" spans="1:39">
      <c r="A44" s="60"/>
      <c r="B44" s="60"/>
      <c r="C44" s="49" t="s">
        <v>34</v>
      </c>
      <c r="D44" s="50"/>
      <c r="E44" s="51" t="s">
        <v>216</v>
      </c>
      <c r="F44" s="52"/>
      <c r="G44" s="26">
        <v>7</v>
      </c>
      <c r="H44" s="26">
        <v>10</v>
      </c>
      <c r="I44" s="26">
        <v>10</v>
      </c>
      <c r="J44" s="26">
        <v>10</v>
      </c>
      <c r="K44" s="26">
        <v>10</v>
      </c>
      <c r="L44" s="26">
        <v>10</v>
      </c>
      <c r="M44" s="26">
        <v>10</v>
      </c>
      <c r="N44" s="26">
        <v>10</v>
      </c>
      <c r="O44" s="26">
        <v>10</v>
      </c>
      <c r="P44" s="26">
        <v>7</v>
      </c>
      <c r="Q44" s="28">
        <v>0</v>
      </c>
      <c r="R44" s="26">
        <v>0</v>
      </c>
      <c r="S44" s="26">
        <v>0</v>
      </c>
      <c r="T44" s="26">
        <v>0</v>
      </c>
      <c r="U44" s="26">
        <v>0</v>
      </c>
      <c r="V44" s="26">
        <v>0</v>
      </c>
      <c r="W44" s="26">
        <v>0</v>
      </c>
      <c r="X44" s="26">
        <v>0</v>
      </c>
      <c r="Y44" s="26">
        <v>0</v>
      </c>
      <c r="Z44" s="26">
        <v>0</v>
      </c>
      <c r="AA44" s="26">
        <v>0</v>
      </c>
      <c r="AB44" s="26">
        <v>0</v>
      </c>
      <c r="AC44" s="26">
        <v>0</v>
      </c>
      <c r="AD44" s="26">
        <v>0</v>
      </c>
      <c r="AE44" s="26">
        <v>0</v>
      </c>
      <c r="AF44" s="26">
        <v>0</v>
      </c>
      <c r="AG44" s="26">
        <v>0</v>
      </c>
      <c r="AH44" s="26">
        <v>0</v>
      </c>
      <c r="AI44" s="26">
        <v>0</v>
      </c>
      <c r="AJ44" s="26">
        <v>0</v>
      </c>
      <c r="AK44" s="26">
        <v>0</v>
      </c>
      <c r="AL44" s="26">
        <v>0</v>
      </c>
      <c r="AM44" s="26">
        <v>0</v>
      </c>
    </row>
    <row r="45" spans="1:39">
      <c r="A45" s="60"/>
      <c r="B45" s="61"/>
      <c r="C45" s="66"/>
      <c r="D45" s="52"/>
      <c r="E45" s="66"/>
      <c r="F45" s="52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31">
        <v>3</v>
      </c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</row>
    <row r="46" spans="1:39">
      <c r="A46" s="60"/>
      <c r="B46" s="59" t="s">
        <v>35</v>
      </c>
      <c r="C46" s="49" t="s">
        <v>175</v>
      </c>
      <c r="D46" s="50"/>
      <c r="E46" s="51" t="s">
        <v>223</v>
      </c>
      <c r="F46" s="52"/>
      <c r="G46" s="26">
        <v>2</v>
      </c>
      <c r="H46" s="26">
        <v>2</v>
      </c>
      <c r="I46" s="26">
        <v>2</v>
      </c>
      <c r="J46" s="26">
        <v>2</v>
      </c>
      <c r="K46" s="26">
        <v>2</v>
      </c>
      <c r="L46" s="26">
        <v>2</v>
      </c>
      <c r="M46" s="26">
        <v>2</v>
      </c>
      <c r="N46" s="26">
        <v>2</v>
      </c>
      <c r="O46" s="26">
        <v>2</v>
      </c>
      <c r="P46" s="26">
        <v>2</v>
      </c>
      <c r="Q46" s="26">
        <v>2</v>
      </c>
      <c r="R46" s="28">
        <v>0</v>
      </c>
      <c r="S46" s="26">
        <v>0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  <c r="Z46" s="26">
        <v>0</v>
      </c>
      <c r="AA46" s="26">
        <v>0</v>
      </c>
      <c r="AB46" s="26">
        <v>0</v>
      </c>
      <c r="AC46" s="26">
        <v>0</v>
      </c>
      <c r="AD46" s="26">
        <v>0</v>
      </c>
      <c r="AE46" s="26">
        <v>0</v>
      </c>
      <c r="AF46" s="26">
        <v>0</v>
      </c>
      <c r="AG46" s="26">
        <v>0</v>
      </c>
      <c r="AH46" s="26">
        <v>0</v>
      </c>
      <c r="AI46" s="26">
        <v>0</v>
      </c>
      <c r="AJ46" s="26">
        <v>0</v>
      </c>
      <c r="AK46" s="26">
        <v>0</v>
      </c>
      <c r="AL46" s="26">
        <v>0</v>
      </c>
      <c r="AM46" s="26">
        <v>0</v>
      </c>
    </row>
    <row r="47" spans="1:39">
      <c r="A47" s="60"/>
      <c r="B47" s="60"/>
      <c r="C47" s="49" t="s">
        <v>176</v>
      </c>
      <c r="D47" s="50"/>
      <c r="E47" s="51" t="s">
        <v>224</v>
      </c>
      <c r="F47" s="52"/>
      <c r="G47" s="26">
        <v>1</v>
      </c>
      <c r="H47" s="26">
        <v>2</v>
      </c>
      <c r="I47" s="26">
        <v>2</v>
      </c>
      <c r="J47" s="26">
        <v>2</v>
      </c>
      <c r="K47" s="26">
        <v>2</v>
      </c>
      <c r="L47" s="26">
        <v>2</v>
      </c>
      <c r="M47" s="26">
        <v>2</v>
      </c>
      <c r="N47" s="26">
        <v>2</v>
      </c>
      <c r="O47" s="26">
        <v>2</v>
      </c>
      <c r="P47" s="26">
        <v>2</v>
      </c>
      <c r="Q47" s="26">
        <v>1</v>
      </c>
      <c r="R47" s="28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6">
        <v>0</v>
      </c>
      <c r="AM47" s="26">
        <v>0</v>
      </c>
    </row>
    <row r="48" spans="1:39">
      <c r="A48" s="60"/>
      <c r="B48" s="60"/>
      <c r="C48" s="66"/>
      <c r="D48" s="52"/>
      <c r="E48" s="66"/>
      <c r="F48" s="52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31">
        <v>1</v>
      </c>
      <c r="S48" s="3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</row>
    <row r="49" spans="1:39">
      <c r="A49" s="60"/>
      <c r="B49" s="60"/>
      <c r="C49" s="49" t="s">
        <v>177</v>
      </c>
      <c r="D49" s="50"/>
      <c r="E49" s="51" t="s">
        <v>223</v>
      </c>
      <c r="F49" s="52"/>
      <c r="G49" s="26">
        <v>2</v>
      </c>
      <c r="H49" s="26">
        <v>2</v>
      </c>
      <c r="I49" s="26">
        <v>2</v>
      </c>
      <c r="J49" s="26">
        <v>2</v>
      </c>
      <c r="K49" s="26">
        <v>2</v>
      </c>
      <c r="L49" s="26">
        <v>2</v>
      </c>
      <c r="M49" s="26">
        <v>2</v>
      </c>
      <c r="N49" s="26">
        <v>2</v>
      </c>
      <c r="O49" s="26">
        <v>2</v>
      </c>
      <c r="P49" s="26">
        <v>2</v>
      </c>
      <c r="Q49" s="26">
        <v>2</v>
      </c>
      <c r="R49" s="26">
        <v>2</v>
      </c>
      <c r="S49" s="28">
        <v>0</v>
      </c>
      <c r="T49" s="36">
        <v>0</v>
      </c>
      <c r="U49" s="26">
        <v>0</v>
      </c>
      <c r="V49" s="26">
        <v>0</v>
      </c>
      <c r="W49" s="26">
        <v>0</v>
      </c>
      <c r="X49" s="26">
        <v>0</v>
      </c>
      <c r="Y49" s="26">
        <v>0</v>
      </c>
      <c r="Z49" s="26">
        <v>0</v>
      </c>
      <c r="AA49" s="26">
        <v>0</v>
      </c>
      <c r="AB49" s="26">
        <v>0</v>
      </c>
      <c r="AC49" s="26">
        <v>0</v>
      </c>
      <c r="AD49" s="26">
        <v>0</v>
      </c>
      <c r="AE49" s="26">
        <v>0</v>
      </c>
      <c r="AF49" s="26">
        <v>0</v>
      </c>
      <c r="AG49" s="26">
        <v>0</v>
      </c>
      <c r="AH49" s="26">
        <v>0</v>
      </c>
      <c r="AI49" s="26">
        <v>0</v>
      </c>
      <c r="AJ49" s="26">
        <v>0</v>
      </c>
      <c r="AK49" s="26">
        <v>0</v>
      </c>
      <c r="AL49" s="26">
        <v>0</v>
      </c>
      <c r="AM49" s="26">
        <v>0</v>
      </c>
    </row>
    <row r="50" spans="1:39">
      <c r="A50" s="60"/>
      <c r="B50" s="60"/>
      <c r="C50" s="49" t="s">
        <v>178</v>
      </c>
      <c r="D50" s="50"/>
      <c r="E50" s="51" t="s">
        <v>224</v>
      </c>
      <c r="F50" s="52"/>
      <c r="G50" s="26">
        <v>2</v>
      </c>
      <c r="H50" s="26">
        <v>2</v>
      </c>
      <c r="I50" s="26">
        <v>2</v>
      </c>
      <c r="J50" s="26">
        <v>2</v>
      </c>
      <c r="K50" s="26">
        <v>2</v>
      </c>
      <c r="L50" s="26">
        <v>2</v>
      </c>
      <c r="M50" s="26">
        <v>2</v>
      </c>
      <c r="N50" s="26">
        <v>2</v>
      </c>
      <c r="O50" s="26">
        <v>2</v>
      </c>
      <c r="P50" s="26">
        <v>2</v>
      </c>
      <c r="Q50" s="26">
        <v>2</v>
      </c>
      <c r="R50" s="26">
        <v>2</v>
      </c>
      <c r="S50" s="28">
        <v>0</v>
      </c>
      <c r="T50" s="3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26">
        <v>0</v>
      </c>
      <c r="AD50" s="26">
        <v>0</v>
      </c>
      <c r="AE50" s="26">
        <v>0</v>
      </c>
      <c r="AF50" s="26">
        <v>0</v>
      </c>
      <c r="AG50" s="26">
        <v>0</v>
      </c>
      <c r="AH50" s="26">
        <v>0</v>
      </c>
      <c r="AI50" s="26">
        <v>0</v>
      </c>
      <c r="AJ50" s="26">
        <v>0</v>
      </c>
      <c r="AK50" s="26">
        <v>0</v>
      </c>
      <c r="AL50" s="26">
        <v>0</v>
      </c>
      <c r="AM50" s="26">
        <v>0</v>
      </c>
    </row>
    <row r="51" spans="1:39">
      <c r="A51" s="60"/>
      <c r="B51" s="60"/>
      <c r="C51" s="49" t="s">
        <v>179</v>
      </c>
      <c r="D51" s="50"/>
      <c r="E51" s="51" t="s">
        <v>223</v>
      </c>
      <c r="F51" s="52"/>
      <c r="G51" s="26">
        <v>2</v>
      </c>
      <c r="H51" s="26">
        <v>2</v>
      </c>
      <c r="I51" s="26">
        <v>2</v>
      </c>
      <c r="J51" s="26">
        <v>2</v>
      </c>
      <c r="K51" s="26">
        <v>2</v>
      </c>
      <c r="L51" s="26">
        <v>2</v>
      </c>
      <c r="M51" s="26">
        <v>2</v>
      </c>
      <c r="N51" s="26">
        <v>2</v>
      </c>
      <c r="O51" s="26">
        <v>2</v>
      </c>
      <c r="P51" s="26">
        <v>2</v>
      </c>
      <c r="Q51" s="26">
        <v>2</v>
      </c>
      <c r="R51" s="26">
        <v>2</v>
      </c>
      <c r="S51" s="26">
        <v>2</v>
      </c>
      <c r="T51" s="28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6">
        <v>0</v>
      </c>
      <c r="AM51" s="26">
        <v>0</v>
      </c>
    </row>
    <row r="52" spans="1:39">
      <c r="A52" s="60"/>
      <c r="B52" s="60"/>
      <c r="C52" s="49" t="s">
        <v>180</v>
      </c>
      <c r="D52" s="50"/>
      <c r="E52" s="51" t="s">
        <v>224</v>
      </c>
      <c r="F52" s="52"/>
      <c r="G52" s="26">
        <v>3</v>
      </c>
      <c r="H52" s="26">
        <v>3</v>
      </c>
      <c r="I52" s="26">
        <v>3</v>
      </c>
      <c r="J52" s="26">
        <v>3</v>
      </c>
      <c r="K52" s="26">
        <v>3</v>
      </c>
      <c r="L52" s="26">
        <v>3</v>
      </c>
      <c r="M52" s="26">
        <v>3</v>
      </c>
      <c r="N52" s="26">
        <v>3</v>
      </c>
      <c r="O52" s="26">
        <v>3</v>
      </c>
      <c r="P52" s="26">
        <v>3</v>
      </c>
      <c r="Q52" s="26">
        <v>3</v>
      </c>
      <c r="R52" s="26">
        <v>3</v>
      </c>
      <c r="S52" s="26">
        <v>3</v>
      </c>
      <c r="T52" s="28">
        <v>0</v>
      </c>
      <c r="U52" s="26">
        <v>0</v>
      </c>
      <c r="V52" s="26">
        <v>0</v>
      </c>
      <c r="W52" s="26">
        <v>0</v>
      </c>
      <c r="X52" s="26">
        <v>0</v>
      </c>
      <c r="Y52" s="26">
        <v>0</v>
      </c>
      <c r="Z52" s="26">
        <v>0</v>
      </c>
      <c r="AA52" s="26">
        <v>0</v>
      </c>
      <c r="AB52" s="26">
        <v>0</v>
      </c>
      <c r="AC52" s="26">
        <v>0</v>
      </c>
      <c r="AD52" s="26">
        <v>0</v>
      </c>
      <c r="AE52" s="26">
        <v>0</v>
      </c>
      <c r="AF52" s="26">
        <v>0</v>
      </c>
      <c r="AG52" s="26">
        <v>0</v>
      </c>
      <c r="AH52" s="26">
        <v>0</v>
      </c>
      <c r="AI52" s="26">
        <v>0</v>
      </c>
      <c r="AJ52" s="26">
        <v>0</v>
      </c>
      <c r="AK52" s="26">
        <v>0</v>
      </c>
      <c r="AL52" s="26">
        <v>0</v>
      </c>
      <c r="AM52" s="26">
        <v>0</v>
      </c>
    </row>
    <row r="53" spans="1:39">
      <c r="A53" s="60"/>
      <c r="B53" s="60"/>
      <c r="C53" s="49" t="s">
        <v>181</v>
      </c>
      <c r="D53" s="50"/>
      <c r="E53" s="51" t="s">
        <v>223</v>
      </c>
      <c r="F53" s="52"/>
      <c r="G53" s="26">
        <v>1</v>
      </c>
      <c r="H53" s="26">
        <v>2</v>
      </c>
      <c r="I53" s="26">
        <v>2</v>
      </c>
      <c r="J53" s="26">
        <v>2</v>
      </c>
      <c r="K53" s="26">
        <v>2</v>
      </c>
      <c r="L53" s="26">
        <v>2</v>
      </c>
      <c r="M53" s="26">
        <v>2</v>
      </c>
      <c r="N53" s="26">
        <v>2</v>
      </c>
      <c r="O53" s="26">
        <v>2</v>
      </c>
      <c r="P53" s="26">
        <v>2</v>
      </c>
      <c r="Q53" s="26">
        <v>2</v>
      </c>
      <c r="R53" s="26">
        <v>2</v>
      </c>
      <c r="S53" s="26">
        <v>2</v>
      </c>
      <c r="T53" s="26">
        <v>1</v>
      </c>
      <c r="U53" s="28">
        <v>0</v>
      </c>
      <c r="V53" s="26">
        <v>0</v>
      </c>
      <c r="W53" s="26">
        <v>0</v>
      </c>
      <c r="X53" s="26">
        <v>0</v>
      </c>
      <c r="Y53" s="26">
        <v>0</v>
      </c>
      <c r="Z53" s="26">
        <v>0</v>
      </c>
      <c r="AA53" s="26">
        <v>0</v>
      </c>
      <c r="AB53" s="26">
        <v>0</v>
      </c>
      <c r="AC53" s="26">
        <v>0</v>
      </c>
      <c r="AD53" s="26">
        <v>0</v>
      </c>
      <c r="AE53" s="26">
        <v>0</v>
      </c>
      <c r="AF53" s="26">
        <v>0</v>
      </c>
      <c r="AG53" s="26">
        <v>0</v>
      </c>
      <c r="AH53" s="26">
        <v>0</v>
      </c>
      <c r="AI53" s="26">
        <v>0</v>
      </c>
      <c r="AJ53" s="26">
        <v>0</v>
      </c>
      <c r="AK53" s="26">
        <v>0</v>
      </c>
      <c r="AL53" s="26">
        <v>0</v>
      </c>
      <c r="AM53" s="26">
        <v>0</v>
      </c>
    </row>
    <row r="54" spans="1:39">
      <c r="A54" s="60"/>
      <c r="B54" s="60"/>
      <c r="C54" s="66"/>
      <c r="D54" s="52"/>
      <c r="E54" s="66"/>
      <c r="F54" s="52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9">
        <v>1</v>
      </c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</row>
    <row r="55" spans="1:39">
      <c r="A55" s="60"/>
      <c r="B55" s="60"/>
      <c r="C55" s="49" t="s">
        <v>182</v>
      </c>
      <c r="D55" s="50"/>
      <c r="E55" s="51" t="s">
        <v>224</v>
      </c>
      <c r="F55" s="52"/>
      <c r="G55" s="26">
        <v>2</v>
      </c>
      <c r="H55" s="26">
        <v>2</v>
      </c>
      <c r="I55" s="26">
        <v>2</v>
      </c>
      <c r="J55" s="26">
        <v>2</v>
      </c>
      <c r="K55" s="26">
        <v>2</v>
      </c>
      <c r="L55" s="26">
        <v>2</v>
      </c>
      <c r="M55" s="26">
        <v>2</v>
      </c>
      <c r="N55" s="26">
        <v>2</v>
      </c>
      <c r="O55" s="26">
        <v>2</v>
      </c>
      <c r="P55" s="26">
        <v>2</v>
      </c>
      <c r="Q55" s="26">
        <v>2</v>
      </c>
      <c r="R55" s="26">
        <v>2</v>
      </c>
      <c r="S55" s="26">
        <v>2</v>
      </c>
      <c r="T55" s="26">
        <v>2</v>
      </c>
      <c r="U55" s="28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</row>
    <row r="56" spans="1:39">
      <c r="A56" s="60"/>
      <c r="B56" s="60"/>
      <c r="C56" s="49" t="s">
        <v>183</v>
      </c>
      <c r="D56" s="50"/>
      <c r="E56" s="51" t="s">
        <v>223</v>
      </c>
      <c r="F56" s="52"/>
      <c r="G56" s="26">
        <v>2</v>
      </c>
      <c r="H56" s="26">
        <v>2</v>
      </c>
      <c r="I56" s="26">
        <v>2</v>
      </c>
      <c r="J56" s="26">
        <v>2</v>
      </c>
      <c r="K56" s="26">
        <v>2</v>
      </c>
      <c r="L56" s="26">
        <v>2</v>
      </c>
      <c r="M56" s="26">
        <v>2</v>
      </c>
      <c r="N56" s="26">
        <v>2</v>
      </c>
      <c r="O56" s="26">
        <v>2</v>
      </c>
      <c r="P56" s="26">
        <v>2</v>
      </c>
      <c r="Q56" s="26">
        <v>2</v>
      </c>
      <c r="R56" s="26">
        <v>2</v>
      </c>
      <c r="S56" s="26">
        <v>2</v>
      </c>
      <c r="T56" s="26">
        <v>2</v>
      </c>
      <c r="U56" s="26">
        <v>2</v>
      </c>
      <c r="V56" s="28">
        <v>0</v>
      </c>
      <c r="W56" s="26">
        <v>0</v>
      </c>
      <c r="X56" s="26">
        <v>0</v>
      </c>
      <c r="Y56" s="26">
        <v>0</v>
      </c>
      <c r="Z56" s="26">
        <v>0</v>
      </c>
      <c r="AA56" s="26">
        <v>0</v>
      </c>
      <c r="AB56" s="26">
        <v>0</v>
      </c>
      <c r="AC56" s="26">
        <v>0</v>
      </c>
      <c r="AD56" s="26">
        <v>0</v>
      </c>
      <c r="AE56" s="26">
        <v>0</v>
      </c>
      <c r="AF56" s="26">
        <v>0</v>
      </c>
      <c r="AG56" s="26">
        <v>0</v>
      </c>
      <c r="AH56" s="26">
        <v>0</v>
      </c>
      <c r="AI56" s="26">
        <v>0</v>
      </c>
      <c r="AJ56" s="26">
        <v>0</v>
      </c>
      <c r="AK56" s="26">
        <v>0</v>
      </c>
      <c r="AL56" s="26">
        <v>0</v>
      </c>
      <c r="AM56" s="26">
        <v>0</v>
      </c>
    </row>
    <row r="57" spans="1:39">
      <c r="A57" s="60"/>
      <c r="B57" s="60"/>
      <c r="C57" s="49" t="s">
        <v>184</v>
      </c>
      <c r="D57" s="50"/>
      <c r="E57" s="51" t="s">
        <v>224</v>
      </c>
      <c r="F57" s="52"/>
      <c r="G57" s="26">
        <v>1</v>
      </c>
      <c r="H57" s="26">
        <v>2</v>
      </c>
      <c r="I57" s="26">
        <v>2</v>
      </c>
      <c r="J57" s="26">
        <v>2</v>
      </c>
      <c r="K57" s="26">
        <v>2</v>
      </c>
      <c r="L57" s="26">
        <v>2</v>
      </c>
      <c r="M57" s="26">
        <v>2</v>
      </c>
      <c r="N57" s="26">
        <v>2</v>
      </c>
      <c r="O57" s="26">
        <v>2</v>
      </c>
      <c r="P57" s="26">
        <v>2</v>
      </c>
      <c r="Q57" s="26">
        <v>2</v>
      </c>
      <c r="R57" s="26">
        <v>2</v>
      </c>
      <c r="S57" s="26">
        <v>2</v>
      </c>
      <c r="T57" s="26">
        <v>2</v>
      </c>
      <c r="U57" s="26">
        <v>1</v>
      </c>
      <c r="V57" s="28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0</v>
      </c>
      <c r="AF57" s="26">
        <v>0</v>
      </c>
      <c r="AG57" s="26">
        <v>0</v>
      </c>
      <c r="AH57" s="26">
        <v>0</v>
      </c>
      <c r="AI57" s="26">
        <v>0</v>
      </c>
      <c r="AJ57" s="26">
        <v>0</v>
      </c>
      <c r="AK57" s="26">
        <v>0</v>
      </c>
      <c r="AL57" s="26">
        <v>0</v>
      </c>
      <c r="AM57" s="26">
        <v>0</v>
      </c>
    </row>
    <row r="58" spans="1:39">
      <c r="A58" s="60"/>
      <c r="B58" s="60"/>
      <c r="C58" s="66"/>
      <c r="D58" s="52"/>
      <c r="E58" s="66"/>
      <c r="F58" s="52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36"/>
      <c r="V58" s="29">
        <v>1</v>
      </c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</row>
    <row r="59" spans="1:39">
      <c r="A59" s="60"/>
      <c r="B59" s="60"/>
      <c r="C59" s="49" t="s">
        <v>185</v>
      </c>
      <c r="D59" s="50"/>
      <c r="E59" s="51" t="s">
        <v>223</v>
      </c>
      <c r="F59" s="52"/>
      <c r="G59" s="26">
        <v>2</v>
      </c>
      <c r="H59" s="26">
        <v>2</v>
      </c>
      <c r="I59" s="26">
        <v>2</v>
      </c>
      <c r="J59" s="26">
        <v>2</v>
      </c>
      <c r="K59" s="26">
        <v>2</v>
      </c>
      <c r="L59" s="26">
        <v>2</v>
      </c>
      <c r="M59" s="26">
        <v>2</v>
      </c>
      <c r="N59" s="26">
        <v>2</v>
      </c>
      <c r="O59" s="26">
        <v>2</v>
      </c>
      <c r="P59" s="26">
        <v>2</v>
      </c>
      <c r="Q59" s="26">
        <v>2</v>
      </c>
      <c r="R59" s="26">
        <v>2</v>
      </c>
      <c r="S59" s="26">
        <v>2</v>
      </c>
      <c r="T59" s="26">
        <v>2</v>
      </c>
      <c r="U59" s="26">
        <v>2</v>
      </c>
      <c r="V59" s="26">
        <v>2</v>
      </c>
      <c r="W59" s="28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0</v>
      </c>
      <c r="AG59" s="26">
        <v>0</v>
      </c>
      <c r="AH59" s="26">
        <v>0</v>
      </c>
      <c r="AI59" s="26">
        <v>0</v>
      </c>
      <c r="AJ59" s="26">
        <v>0</v>
      </c>
      <c r="AK59" s="26">
        <v>0</v>
      </c>
      <c r="AL59" s="26">
        <v>0</v>
      </c>
      <c r="AM59" s="26">
        <v>0</v>
      </c>
    </row>
    <row r="60" spans="1:39">
      <c r="A60" s="60"/>
      <c r="B60" s="60"/>
      <c r="C60" s="49" t="s">
        <v>186</v>
      </c>
      <c r="D60" s="50"/>
      <c r="E60" s="51" t="s">
        <v>224</v>
      </c>
      <c r="F60" s="52"/>
      <c r="G60" s="26">
        <v>2</v>
      </c>
      <c r="H60" s="26">
        <v>2</v>
      </c>
      <c r="I60" s="26">
        <v>2</v>
      </c>
      <c r="J60" s="26">
        <v>2</v>
      </c>
      <c r="K60" s="26">
        <v>2</v>
      </c>
      <c r="L60" s="26">
        <v>2</v>
      </c>
      <c r="M60" s="26">
        <v>2</v>
      </c>
      <c r="N60" s="26">
        <v>2</v>
      </c>
      <c r="O60" s="26">
        <v>2</v>
      </c>
      <c r="P60" s="26">
        <v>2</v>
      </c>
      <c r="Q60" s="26">
        <v>2</v>
      </c>
      <c r="R60" s="26">
        <v>2</v>
      </c>
      <c r="S60" s="26">
        <v>2</v>
      </c>
      <c r="T60" s="26">
        <v>2</v>
      </c>
      <c r="U60" s="26">
        <v>2</v>
      </c>
      <c r="V60" s="26">
        <v>2</v>
      </c>
      <c r="W60" s="28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</row>
    <row r="61" spans="1:39">
      <c r="A61" s="60"/>
      <c r="B61" s="60"/>
      <c r="C61" s="49" t="s">
        <v>187</v>
      </c>
      <c r="D61" s="50"/>
      <c r="E61" s="51" t="s">
        <v>223</v>
      </c>
      <c r="F61" s="52"/>
      <c r="G61" s="26">
        <v>2</v>
      </c>
      <c r="H61" s="26">
        <v>2</v>
      </c>
      <c r="I61" s="26">
        <v>2</v>
      </c>
      <c r="J61" s="26">
        <v>2</v>
      </c>
      <c r="K61" s="26">
        <v>2</v>
      </c>
      <c r="L61" s="26">
        <v>2</v>
      </c>
      <c r="M61" s="26">
        <v>2</v>
      </c>
      <c r="N61" s="26">
        <v>2</v>
      </c>
      <c r="O61" s="26">
        <v>2</v>
      </c>
      <c r="P61" s="26">
        <v>2</v>
      </c>
      <c r="Q61" s="26">
        <v>2</v>
      </c>
      <c r="R61" s="26">
        <v>2</v>
      </c>
      <c r="S61" s="26">
        <v>2</v>
      </c>
      <c r="T61" s="26">
        <v>2</v>
      </c>
      <c r="U61" s="26">
        <v>2</v>
      </c>
      <c r="V61" s="26">
        <v>2</v>
      </c>
      <c r="W61" s="26">
        <v>2</v>
      </c>
      <c r="X61" s="28">
        <v>0</v>
      </c>
      <c r="Y61" s="26">
        <v>0</v>
      </c>
      <c r="Z61" s="26">
        <v>0</v>
      </c>
      <c r="AA61" s="26">
        <v>0</v>
      </c>
      <c r="AB61" s="26">
        <v>0</v>
      </c>
      <c r="AC61" s="26">
        <v>0</v>
      </c>
      <c r="AD61" s="26">
        <v>0</v>
      </c>
      <c r="AE61" s="26">
        <v>0</v>
      </c>
      <c r="AF61" s="26">
        <v>0</v>
      </c>
      <c r="AG61" s="26">
        <v>0</v>
      </c>
      <c r="AH61" s="26">
        <v>0</v>
      </c>
      <c r="AI61" s="26">
        <v>0</v>
      </c>
      <c r="AJ61" s="26">
        <v>0</v>
      </c>
      <c r="AK61" s="26">
        <v>0</v>
      </c>
      <c r="AL61" s="26">
        <v>0</v>
      </c>
      <c r="AM61" s="26">
        <v>0</v>
      </c>
    </row>
    <row r="62" spans="1:39">
      <c r="A62" s="60"/>
      <c r="B62" s="60"/>
      <c r="C62" s="49" t="s">
        <v>188</v>
      </c>
      <c r="D62" s="50"/>
      <c r="E62" s="51" t="s">
        <v>224</v>
      </c>
      <c r="F62" s="52"/>
      <c r="G62" s="26">
        <v>2</v>
      </c>
      <c r="H62" s="26">
        <v>2</v>
      </c>
      <c r="I62" s="26">
        <v>2</v>
      </c>
      <c r="J62" s="26">
        <v>2</v>
      </c>
      <c r="K62" s="26">
        <v>2</v>
      </c>
      <c r="L62" s="26">
        <v>2</v>
      </c>
      <c r="M62" s="26">
        <v>2</v>
      </c>
      <c r="N62" s="26">
        <v>2</v>
      </c>
      <c r="O62" s="26">
        <v>2</v>
      </c>
      <c r="P62" s="26">
        <v>2</v>
      </c>
      <c r="Q62" s="26">
        <v>2</v>
      </c>
      <c r="R62" s="26">
        <v>2</v>
      </c>
      <c r="S62" s="26">
        <v>2</v>
      </c>
      <c r="T62" s="26">
        <v>2</v>
      </c>
      <c r="U62" s="26">
        <v>2</v>
      </c>
      <c r="V62" s="26">
        <v>2</v>
      </c>
      <c r="W62" s="26">
        <v>2</v>
      </c>
      <c r="X62" s="28">
        <v>0</v>
      </c>
      <c r="Y62" s="26">
        <v>0</v>
      </c>
      <c r="Z62" s="26">
        <v>0</v>
      </c>
      <c r="AA62" s="26">
        <v>0</v>
      </c>
      <c r="AB62" s="26">
        <v>0</v>
      </c>
      <c r="AC62" s="26">
        <v>0</v>
      </c>
      <c r="AD62" s="26">
        <v>0</v>
      </c>
      <c r="AE62" s="26">
        <v>0</v>
      </c>
      <c r="AF62" s="26">
        <v>0</v>
      </c>
      <c r="AG62" s="26">
        <v>0</v>
      </c>
      <c r="AH62" s="26">
        <v>0</v>
      </c>
      <c r="AI62" s="26">
        <v>0</v>
      </c>
      <c r="AJ62" s="26">
        <v>0</v>
      </c>
      <c r="AK62" s="26">
        <v>0</v>
      </c>
      <c r="AL62" s="26">
        <v>0</v>
      </c>
      <c r="AM62" s="26">
        <v>0</v>
      </c>
    </row>
    <row r="63" spans="1:39">
      <c r="A63" s="60"/>
      <c r="B63" s="60"/>
      <c r="C63" s="49" t="s">
        <v>189</v>
      </c>
      <c r="D63" s="50"/>
      <c r="E63" s="51" t="s">
        <v>223</v>
      </c>
      <c r="F63" s="52"/>
      <c r="G63" s="26">
        <v>2</v>
      </c>
      <c r="H63" s="26">
        <v>2</v>
      </c>
      <c r="I63" s="26">
        <v>2</v>
      </c>
      <c r="J63" s="26">
        <v>2</v>
      </c>
      <c r="K63" s="26">
        <v>2</v>
      </c>
      <c r="L63" s="26">
        <v>2</v>
      </c>
      <c r="M63" s="26">
        <v>2</v>
      </c>
      <c r="N63" s="26">
        <v>2</v>
      </c>
      <c r="O63" s="26">
        <v>2</v>
      </c>
      <c r="P63" s="26">
        <v>2</v>
      </c>
      <c r="Q63" s="26">
        <v>2</v>
      </c>
      <c r="R63" s="26">
        <v>2</v>
      </c>
      <c r="S63" s="26">
        <v>2</v>
      </c>
      <c r="T63" s="26">
        <v>2</v>
      </c>
      <c r="U63" s="26">
        <v>2</v>
      </c>
      <c r="V63" s="26">
        <v>2</v>
      </c>
      <c r="W63" s="26">
        <v>2</v>
      </c>
      <c r="X63" s="26">
        <v>2</v>
      </c>
      <c r="Y63" s="28">
        <v>0</v>
      </c>
      <c r="Z63" s="26">
        <v>0</v>
      </c>
      <c r="AA63" s="26">
        <v>0</v>
      </c>
      <c r="AB63" s="26">
        <v>0</v>
      </c>
      <c r="AC63" s="26">
        <v>0</v>
      </c>
      <c r="AD63" s="26">
        <v>0</v>
      </c>
      <c r="AE63" s="26">
        <v>0</v>
      </c>
      <c r="AF63" s="26">
        <v>0</v>
      </c>
      <c r="AG63" s="26">
        <v>0</v>
      </c>
      <c r="AH63" s="26">
        <v>0</v>
      </c>
      <c r="AI63" s="26">
        <v>0</v>
      </c>
      <c r="AJ63" s="26">
        <v>0</v>
      </c>
      <c r="AK63" s="26">
        <v>0</v>
      </c>
      <c r="AL63" s="26">
        <v>0</v>
      </c>
      <c r="AM63" s="26">
        <v>0</v>
      </c>
    </row>
    <row r="64" spans="1:39">
      <c r="A64" s="60"/>
      <c r="B64" s="60"/>
      <c r="C64" s="49" t="s">
        <v>190</v>
      </c>
      <c r="D64" s="50"/>
      <c r="E64" s="51" t="s">
        <v>224</v>
      </c>
      <c r="F64" s="52"/>
      <c r="G64" s="26">
        <v>2</v>
      </c>
      <c r="H64" s="26">
        <v>2</v>
      </c>
      <c r="I64" s="26">
        <v>2</v>
      </c>
      <c r="J64" s="26">
        <v>2</v>
      </c>
      <c r="K64" s="26">
        <v>2</v>
      </c>
      <c r="L64" s="26">
        <v>2</v>
      </c>
      <c r="M64" s="26">
        <v>2</v>
      </c>
      <c r="N64" s="26">
        <v>2</v>
      </c>
      <c r="O64" s="26">
        <v>2</v>
      </c>
      <c r="P64" s="26">
        <v>2</v>
      </c>
      <c r="Q64" s="26">
        <v>2</v>
      </c>
      <c r="R64" s="26">
        <v>2</v>
      </c>
      <c r="S64" s="26">
        <v>2</v>
      </c>
      <c r="T64" s="26">
        <v>2</v>
      </c>
      <c r="U64" s="26">
        <v>2</v>
      </c>
      <c r="V64" s="26">
        <v>2</v>
      </c>
      <c r="W64" s="26">
        <v>2</v>
      </c>
      <c r="X64" s="26">
        <v>2</v>
      </c>
      <c r="Y64" s="28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6">
        <v>0</v>
      </c>
      <c r="AM64" s="26">
        <v>0</v>
      </c>
    </row>
    <row r="65" spans="1:39">
      <c r="A65" s="60"/>
      <c r="B65" s="60"/>
      <c r="C65" s="49" t="s">
        <v>191</v>
      </c>
      <c r="D65" s="50"/>
      <c r="E65" s="51" t="s">
        <v>223</v>
      </c>
      <c r="F65" s="52"/>
      <c r="G65" s="26">
        <v>2</v>
      </c>
      <c r="H65" s="26">
        <v>2</v>
      </c>
      <c r="I65" s="26">
        <v>2</v>
      </c>
      <c r="J65" s="26">
        <v>2</v>
      </c>
      <c r="K65" s="26">
        <v>2</v>
      </c>
      <c r="L65" s="26">
        <v>2</v>
      </c>
      <c r="M65" s="26">
        <v>2</v>
      </c>
      <c r="N65" s="26">
        <v>2</v>
      </c>
      <c r="O65" s="26">
        <v>2</v>
      </c>
      <c r="P65" s="26">
        <v>2</v>
      </c>
      <c r="Q65" s="26">
        <v>2</v>
      </c>
      <c r="R65" s="26">
        <v>2</v>
      </c>
      <c r="S65" s="26">
        <v>2</v>
      </c>
      <c r="T65" s="26">
        <v>2</v>
      </c>
      <c r="U65" s="26">
        <v>2</v>
      </c>
      <c r="V65" s="26">
        <v>2</v>
      </c>
      <c r="W65" s="26">
        <v>2</v>
      </c>
      <c r="X65" s="26">
        <v>2</v>
      </c>
      <c r="Y65" s="26">
        <v>2</v>
      </c>
      <c r="Z65" s="28">
        <v>0</v>
      </c>
      <c r="AA65" s="26">
        <v>0</v>
      </c>
      <c r="AB65" s="26">
        <v>0</v>
      </c>
      <c r="AC65" s="26">
        <v>0</v>
      </c>
      <c r="AD65" s="26">
        <v>0</v>
      </c>
      <c r="AE65" s="26">
        <v>0</v>
      </c>
      <c r="AF65" s="26">
        <v>0</v>
      </c>
      <c r="AG65" s="26">
        <v>0</v>
      </c>
      <c r="AH65" s="26">
        <v>0</v>
      </c>
      <c r="AI65" s="26">
        <v>0</v>
      </c>
      <c r="AJ65" s="26">
        <v>0</v>
      </c>
      <c r="AK65" s="26">
        <v>0</v>
      </c>
      <c r="AL65" s="26">
        <v>0</v>
      </c>
      <c r="AM65" s="26">
        <v>0</v>
      </c>
    </row>
    <row r="66" spans="1:39">
      <c r="A66" s="60"/>
      <c r="B66" s="60"/>
      <c r="C66" s="49" t="s">
        <v>192</v>
      </c>
      <c r="D66" s="50"/>
      <c r="E66" s="51" t="s">
        <v>224</v>
      </c>
      <c r="F66" s="52"/>
      <c r="G66" s="26">
        <v>2</v>
      </c>
      <c r="H66" s="26">
        <v>2</v>
      </c>
      <c r="I66" s="26">
        <v>2</v>
      </c>
      <c r="J66" s="26">
        <v>2</v>
      </c>
      <c r="K66" s="26">
        <v>2</v>
      </c>
      <c r="L66" s="26">
        <v>2</v>
      </c>
      <c r="M66" s="26">
        <v>2</v>
      </c>
      <c r="N66" s="26">
        <v>2</v>
      </c>
      <c r="O66" s="26">
        <v>2</v>
      </c>
      <c r="P66" s="26">
        <v>2</v>
      </c>
      <c r="Q66" s="26">
        <v>2</v>
      </c>
      <c r="R66" s="26">
        <v>2</v>
      </c>
      <c r="S66" s="26">
        <v>2</v>
      </c>
      <c r="T66" s="26">
        <v>2</v>
      </c>
      <c r="U66" s="26">
        <v>2</v>
      </c>
      <c r="V66" s="26">
        <v>2</v>
      </c>
      <c r="W66" s="26">
        <v>2</v>
      </c>
      <c r="X66" s="26">
        <v>2</v>
      </c>
      <c r="Y66" s="26">
        <v>2</v>
      </c>
      <c r="Z66" s="28">
        <v>0</v>
      </c>
      <c r="AA66" s="26">
        <v>0</v>
      </c>
      <c r="AB66" s="26">
        <v>0</v>
      </c>
      <c r="AC66" s="26">
        <v>0</v>
      </c>
      <c r="AD66" s="26">
        <v>0</v>
      </c>
      <c r="AE66" s="26">
        <v>0</v>
      </c>
      <c r="AF66" s="26">
        <v>0</v>
      </c>
      <c r="AG66" s="26">
        <v>0</v>
      </c>
      <c r="AH66" s="26">
        <v>0</v>
      </c>
      <c r="AI66" s="26">
        <v>0</v>
      </c>
      <c r="AJ66" s="26">
        <v>0</v>
      </c>
      <c r="AK66" s="26">
        <v>0</v>
      </c>
      <c r="AL66" s="26">
        <v>0</v>
      </c>
      <c r="AM66" s="26">
        <v>0</v>
      </c>
    </row>
    <row r="67" spans="1:39">
      <c r="A67" s="60"/>
      <c r="B67" s="60"/>
      <c r="C67" s="49" t="s">
        <v>236</v>
      </c>
      <c r="D67" s="50"/>
      <c r="E67" s="51" t="s">
        <v>223</v>
      </c>
      <c r="F67" s="79"/>
      <c r="G67" s="26">
        <v>2</v>
      </c>
      <c r="H67" s="26">
        <v>2</v>
      </c>
      <c r="I67" s="26">
        <v>2</v>
      </c>
      <c r="J67" s="26">
        <v>2</v>
      </c>
      <c r="K67" s="26">
        <v>2</v>
      </c>
      <c r="L67" s="26">
        <v>2</v>
      </c>
      <c r="M67" s="26">
        <v>2</v>
      </c>
      <c r="N67" s="26">
        <v>2</v>
      </c>
      <c r="O67" s="26">
        <v>2</v>
      </c>
      <c r="P67" s="26">
        <v>2</v>
      </c>
      <c r="Q67" s="26">
        <v>2</v>
      </c>
      <c r="R67" s="26">
        <v>2</v>
      </c>
      <c r="S67" s="26">
        <v>2</v>
      </c>
      <c r="T67" s="26">
        <v>2</v>
      </c>
      <c r="U67" s="26">
        <v>2</v>
      </c>
      <c r="V67" s="26">
        <v>2</v>
      </c>
      <c r="W67" s="26">
        <v>2</v>
      </c>
      <c r="X67" s="26">
        <v>2</v>
      </c>
      <c r="Y67" s="26">
        <v>2</v>
      </c>
      <c r="Z67" s="26">
        <v>2</v>
      </c>
      <c r="AA67" s="28">
        <v>0</v>
      </c>
      <c r="AB67" s="26">
        <v>0</v>
      </c>
      <c r="AC67" s="26">
        <v>0</v>
      </c>
      <c r="AD67" s="26">
        <v>0</v>
      </c>
      <c r="AE67" s="26">
        <v>0</v>
      </c>
      <c r="AF67" s="26">
        <v>0</v>
      </c>
      <c r="AG67" s="26">
        <v>0</v>
      </c>
      <c r="AH67" s="26">
        <v>0</v>
      </c>
      <c r="AI67" s="26">
        <v>0</v>
      </c>
      <c r="AJ67" s="26">
        <v>0</v>
      </c>
      <c r="AK67" s="26">
        <v>0</v>
      </c>
      <c r="AL67" s="26">
        <v>0</v>
      </c>
      <c r="AM67" s="26">
        <v>0</v>
      </c>
    </row>
    <row r="68" spans="1:39">
      <c r="A68" s="60"/>
      <c r="B68" s="60"/>
      <c r="C68" s="49" t="s">
        <v>237</v>
      </c>
      <c r="D68" s="50"/>
      <c r="E68" s="51" t="s">
        <v>224</v>
      </c>
      <c r="F68" s="79"/>
      <c r="G68" s="26">
        <v>2</v>
      </c>
      <c r="H68" s="26">
        <v>2</v>
      </c>
      <c r="I68" s="26">
        <v>2</v>
      </c>
      <c r="J68" s="26">
        <v>2</v>
      </c>
      <c r="K68" s="26">
        <v>2</v>
      </c>
      <c r="L68" s="26">
        <v>2</v>
      </c>
      <c r="M68" s="26">
        <v>2</v>
      </c>
      <c r="N68" s="26">
        <v>2</v>
      </c>
      <c r="O68" s="26">
        <v>2</v>
      </c>
      <c r="P68" s="26">
        <v>2</v>
      </c>
      <c r="Q68" s="26">
        <v>2</v>
      </c>
      <c r="R68" s="26">
        <v>2</v>
      </c>
      <c r="S68" s="26">
        <v>2</v>
      </c>
      <c r="T68" s="26">
        <v>2</v>
      </c>
      <c r="U68" s="26">
        <v>2</v>
      </c>
      <c r="V68" s="26">
        <v>2</v>
      </c>
      <c r="W68" s="26">
        <v>2</v>
      </c>
      <c r="X68" s="26">
        <v>2</v>
      </c>
      <c r="Y68" s="26">
        <v>2</v>
      </c>
      <c r="Z68" s="26">
        <v>2</v>
      </c>
      <c r="AA68" s="28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</row>
    <row r="69" spans="1:39">
      <c r="A69" s="60"/>
      <c r="B69" s="60"/>
      <c r="C69" s="49" t="s">
        <v>238</v>
      </c>
      <c r="D69" s="50"/>
      <c r="E69" s="51" t="s">
        <v>223</v>
      </c>
      <c r="F69" s="79"/>
      <c r="G69" s="26">
        <v>2</v>
      </c>
      <c r="H69" s="26">
        <v>2</v>
      </c>
      <c r="I69" s="26">
        <v>2</v>
      </c>
      <c r="J69" s="26">
        <v>2</v>
      </c>
      <c r="K69" s="26">
        <v>2</v>
      </c>
      <c r="L69" s="26">
        <v>2</v>
      </c>
      <c r="M69" s="26">
        <v>2</v>
      </c>
      <c r="N69" s="26">
        <v>2</v>
      </c>
      <c r="O69" s="26">
        <v>2</v>
      </c>
      <c r="P69" s="26">
        <v>2</v>
      </c>
      <c r="Q69" s="26">
        <v>2</v>
      </c>
      <c r="R69" s="26">
        <v>2</v>
      </c>
      <c r="S69" s="26">
        <v>2</v>
      </c>
      <c r="T69" s="26">
        <v>2</v>
      </c>
      <c r="U69" s="26">
        <v>2</v>
      </c>
      <c r="V69" s="26">
        <v>2</v>
      </c>
      <c r="W69" s="26">
        <v>2</v>
      </c>
      <c r="X69" s="26">
        <v>2</v>
      </c>
      <c r="Y69" s="26">
        <v>2</v>
      </c>
      <c r="Z69" s="26">
        <v>2</v>
      </c>
      <c r="AA69" s="28">
        <v>0</v>
      </c>
      <c r="AB69" s="26">
        <v>0</v>
      </c>
      <c r="AC69" s="26">
        <v>0</v>
      </c>
      <c r="AD69" s="26">
        <v>0</v>
      </c>
      <c r="AE69" s="26">
        <v>0</v>
      </c>
      <c r="AF69" s="26">
        <v>0</v>
      </c>
      <c r="AG69" s="26">
        <v>0</v>
      </c>
      <c r="AH69" s="26">
        <v>0</v>
      </c>
      <c r="AI69" s="26">
        <v>0</v>
      </c>
      <c r="AJ69" s="26">
        <v>0</v>
      </c>
      <c r="AK69" s="26">
        <v>0</v>
      </c>
      <c r="AL69" s="26">
        <v>0</v>
      </c>
      <c r="AM69" s="26">
        <v>0</v>
      </c>
    </row>
    <row r="70" spans="1:39">
      <c r="A70" s="60"/>
      <c r="B70" s="60"/>
      <c r="C70" s="49" t="s">
        <v>239</v>
      </c>
      <c r="D70" s="50"/>
      <c r="E70" s="51" t="s">
        <v>224</v>
      </c>
      <c r="F70" s="79"/>
      <c r="G70" s="26">
        <v>2</v>
      </c>
      <c r="H70" s="26">
        <v>2</v>
      </c>
      <c r="I70" s="26">
        <v>2</v>
      </c>
      <c r="J70" s="26">
        <v>2</v>
      </c>
      <c r="K70" s="26">
        <v>2</v>
      </c>
      <c r="L70" s="26">
        <v>2</v>
      </c>
      <c r="M70" s="26">
        <v>2</v>
      </c>
      <c r="N70" s="26">
        <v>2</v>
      </c>
      <c r="O70" s="26">
        <v>2</v>
      </c>
      <c r="P70" s="26">
        <v>2</v>
      </c>
      <c r="Q70" s="26">
        <v>2</v>
      </c>
      <c r="R70" s="26">
        <v>2</v>
      </c>
      <c r="S70" s="26">
        <v>2</v>
      </c>
      <c r="T70" s="26">
        <v>2</v>
      </c>
      <c r="U70" s="26">
        <v>2</v>
      </c>
      <c r="V70" s="26">
        <v>2</v>
      </c>
      <c r="W70" s="26">
        <v>2</v>
      </c>
      <c r="X70" s="26">
        <v>2</v>
      </c>
      <c r="Y70" s="26">
        <v>2</v>
      </c>
      <c r="Z70" s="26">
        <v>2</v>
      </c>
      <c r="AA70" s="28">
        <v>0</v>
      </c>
      <c r="AB70" s="26">
        <v>0</v>
      </c>
      <c r="AC70" s="26">
        <v>0</v>
      </c>
      <c r="AD70" s="26">
        <v>0</v>
      </c>
      <c r="AE70" s="26">
        <v>0</v>
      </c>
      <c r="AF70" s="26">
        <v>0</v>
      </c>
      <c r="AG70" s="26">
        <v>0</v>
      </c>
      <c r="AH70" s="26">
        <v>0</v>
      </c>
      <c r="AI70" s="26">
        <v>0</v>
      </c>
      <c r="AJ70" s="26">
        <v>0</v>
      </c>
      <c r="AK70" s="26">
        <v>0</v>
      </c>
      <c r="AL70" s="26">
        <v>0</v>
      </c>
      <c r="AM70" s="26">
        <v>0</v>
      </c>
    </row>
    <row r="71" spans="1:39">
      <c r="A71" s="60"/>
      <c r="B71" s="60"/>
      <c r="C71" s="49" t="s">
        <v>52</v>
      </c>
      <c r="D71" s="50"/>
      <c r="E71" s="51" t="s">
        <v>225</v>
      </c>
      <c r="F71" s="52"/>
      <c r="G71" s="26">
        <v>8</v>
      </c>
      <c r="H71" s="26">
        <v>10</v>
      </c>
      <c r="I71" s="26">
        <v>10</v>
      </c>
      <c r="J71" s="26">
        <v>10</v>
      </c>
      <c r="K71" s="26">
        <v>10</v>
      </c>
      <c r="L71" s="26">
        <v>10</v>
      </c>
      <c r="M71" s="26">
        <v>10</v>
      </c>
      <c r="N71" s="26">
        <v>10</v>
      </c>
      <c r="O71" s="26">
        <v>10</v>
      </c>
      <c r="P71" s="26">
        <v>10</v>
      </c>
      <c r="Q71" s="26">
        <v>10</v>
      </c>
      <c r="R71" s="26">
        <v>10</v>
      </c>
      <c r="S71" s="26">
        <v>10</v>
      </c>
      <c r="T71" s="26">
        <v>10</v>
      </c>
      <c r="U71" s="26">
        <v>10</v>
      </c>
      <c r="V71" s="26">
        <v>10</v>
      </c>
      <c r="W71" s="26">
        <v>10</v>
      </c>
      <c r="X71" s="26">
        <v>10</v>
      </c>
      <c r="Y71" s="26">
        <v>10</v>
      </c>
      <c r="Z71" s="26">
        <v>10</v>
      </c>
      <c r="AA71" s="26">
        <v>8</v>
      </c>
      <c r="AB71" s="28">
        <v>0</v>
      </c>
      <c r="AC71" s="26">
        <v>0</v>
      </c>
      <c r="AD71" s="26">
        <v>0</v>
      </c>
      <c r="AE71" s="26">
        <v>0</v>
      </c>
      <c r="AF71" s="26">
        <v>0</v>
      </c>
      <c r="AG71" s="26">
        <v>0</v>
      </c>
      <c r="AH71" s="26">
        <v>0</v>
      </c>
      <c r="AI71" s="26">
        <v>0</v>
      </c>
      <c r="AJ71" s="26">
        <v>0</v>
      </c>
      <c r="AK71" s="26">
        <v>0</v>
      </c>
      <c r="AL71" s="26">
        <v>0</v>
      </c>
      <c r="AM71" s="26">
        <v>0</v>
      </c>
    </row>
    <row r="72" spans="1:39">
      <c r="A72" s="60"/>
      <c r="B72" s="61"/>
      <c r="C72" s="66"/>
      <c r="D72" s="52"/>
      <c r="E72" s="66"/>
      <c r="F72" s="52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36"/>
      <c r="X72" s="26"/>
      <c r="Y72" s="26"/>
      <c r="Z72" s="26"/>
      <c r="AA72" s="26"/>
      <c r="AB72" s="29">
        <v>2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</row>
    <row r="73" spans="1:39">
      <c r="A73" s="60"/>
      <c r="B73" s="59" t="s">
        <v>53</v>
      </c>
      <c r="C73" s="49" t="s">
        <v>193</v>
      </c>
      <c r="D73" s="50"/>
      <c r="E73" s="51" t="s">
        <v>216</v>
      </c>
      <c r="F73" s="52"/>
      <c r="G73" s="26">
        <v>1</v>
      </c>
      <c r="H73" s="26">
        <v>1</v>
      </c>
      <c r="I73" s="26">
        <v>1</v>
      </c>
      <c r="J73" s="26">
        <v>1</v>
      </c>
      <c r="K73" s="26">
        <v>1</v>
      </c>
      <c r="L73" s="26">
        <v>1</v>
      </c>
      <c r="M73" s="26">
        <v>1</v>
      </c>
      <c r="N73" s="26">
        <v>1</v>
      </c>
      <c r="O73" s="26">
        <v>1</v>
      </c>
      <c r="P73" s="26">
        <v>1</v>
      </c>
      <c r="Q73" s="26">
        <v>1</v>
      </c>
      <c r="R73" s="26">
        <v>1</v>
      </c>
      <c r="S73" s="26">
        <v>1</v>
      </c>
      <c r="T73" s="26">
        <v>1</v>
      </c>
      <c r="U73" s="26">
        <v>1</v>
      </c>
      <c r="V73" s="26">
        <v>1</v>
      </c>
      <c r="W73" s="26">
        <v>1</v>
      </c>
      <c r="X73" s="26">
        <v>1</v>
      </c>
      <c r="Y73" s="26">
        <v>1</v>
      </c>
      <c r="Z73" s="26">
        <v>1</v>
      </c>
      <c r="AA73" s="26">
        <v>1</v>
      </c>
      <c r="AB73" s="26">
        <v>1</v>
      </c>
      <c r="AC73" s="28">
        <v>0</v>
      </c>
      <c r="AD73" s="26">
        <v>0</v>
      </c>
      <c r="AE73" s="26">
        <v>0</v>
      </c>
      <c r="AF73" s="26">
        <v>0</v>
      </c>
      <c r="AG73" s="26">
        <v>0</v>
      </c>
      <c r="AH73" s="26">
        <v>0</v>
      </c>
      <c r="AI73" s="26">
        <v>0</v>
      </c>
      <c r="AJ73" s="26">
        <v>0</v>
      </c>
      <c r="AK73" s="26">
        <v>0</v>
      </c>
      <c r="AL73" s="26">
        <v>0</v>
      </c>
      <c r="AM73" s="26">
        <v>0</v>
      </c>
    </row>
    <row r="74" spans="1:39">
      <c r="A74" s="60"/>
      <c r="B74" s="60"/>
      <c r="C74" s="49" t="s">
        <v>194</v>
      </c>
      <c r="D74" s="50"/>
      <c r="E74" s="51" t="s">
        <v>216</v>
      </c>
      <c r="F74" s="52"/>
      <c r="G74" s="26">
        <v>1</v>
      </c>
      <c r="H74" s="26">
        <v>1</v>
      </c>
      <c r="I74" s="26">
        <v>1</v>
      </c>
      <c r="J74" s="26">
        <v>1</v>
      </c>
      <c r="K74" s="26">
        <v>1</v>
      </c>
      <c r="L74" s="26">
        <v>1</v>
      </c>
      <c r="M74" s="26">
        <v>1</v>
      </c>
      <c r="N74" s="26">
        <v>1</v>
      </c>
      <c r="O74" s="26">
        <v>1</v>
      </c>
      <c r="P74" s="26">
        <v>1</v>
      </c>
      <c r="Q74" s="26">
        <v>1</v>
      </c>
      <c r="R74" s="26">
        <v>1</v>
      </c>
      <c r="S74" s="26">
        <v>1</v>
      </c>
      <c r="T74" s="26">
        <v>1</v>
      </c>
      <c r="U74" s="26">
        <v>1</v>
      </c>
      <c r="V74" s="26">
        <v>1</v>
      </c>
      <c r="W74" s="26">
        <v>1</v>
      </c>
      <c r="X74" s="26">
        <v>1</v>
      </c>
      <c r="Y74" s="26">
        <v>1</v>
      </c>
      <c r="Z74" s="26">
        <v>1</v>
      </c>
      <c r="AA74" s="26">
        <v>1</v>
      </c>
      <c r="AB74" s="26">
        <v>1</v>
      </c>
      <c r="AC74" s="28">
        <v>0</v>
      </c>
      <c r="AD74" s="26">
        <v>0</v>
      </c>
      <c r="AE74" s="26">
        <v>0</v>
      </c>
      <c r="AF74" s="26">
        <v>0</v>
      </c>
      <c r="AG74" s="26">
        <v>0</v>
      </c>
      <c r="AH74" s="26">
        <v>0</v>
      </c>
      <c r="AI74" s="26">
        <v>0</v>
      </c>
      <c r="AJ74" s="26">
        <v>0</v>
      </c>
      <c r="AK74" s="26">
        <v>0</v>
      </c>
      <c r="AL74" s="26">
        <v>0</v>
      </c>
      <c r="AM74" s="26">
        <v>0</v>
      </c>
    </row>
    <row r="75" spans="1:39">
      <c r="A75" s="60"/>
      <c r="B75" s="60"/>
      <c r="C75" s="49" t="s">
        <v>195</v>
      </c>
      <c r="D75" s="50"/>
      <c r="E75" s="51" t="s">
        <v>216</v>
      </c>
      <c r="F75" s="52"/>
      <c r="G75" s="26">
        <v>2</v>
      </c>
      <c r="H75" s="26">
        <v>2</v>
      </c>
      <c r="I75" s="26">
        <v>2</v>
      </c>
      <c r="J75" s="26">
        <v>2</v>
      </c>
      <c r="K75" s="26">
        <v>2</v>
      </c>
      <c r="L75" s="26">
        <v>2</v>
      </c>
      <c r="M75" s="26">
        <v>2</v>
      </c>
      <c r="N75" s="26">
        <v>2</v>
      </c>
      <c r="O75" s="26">
        <v>2</v>
      </c>
      <c r="P75" s="26">
        <v>2</v>
      </c>
      <c r="Q75" s="26">
        <v>2</v>
      </c>
      <c r="R75" s="26">
        <v>2</v>
      </c>
      <c r="S75" s="26">
        <v>2</v>
      </c>
      <c r="T75" s="26">
        <v>2</v>
      </c>
      <c r="U75" s="26">
        <v>2</v>
      </c>
      <c r="V75" s="26">
        <v>2</v>
      </c>
      <c r="W75" s="26">
        <v>2</v>
      </c>
      <c r="X75" s="26">
        <v>2</v>
      </c>
      <c r="Y75" s="26">
        <v>2</v>
      </c>
      <c r="Z75" s="26">
        <v>2</v>
      </c>
      <c r="AA75" s="26">
        <v>2</v>
      </c>
      <c r="AB75" s="26">
        <v>2</v>
      </c>
      <c r="AC75" s="28">
        <v>0</v>
      </c>
      <c r="AD75" s="26">
        <v>0</v>
      </c>
      <c r="AE75" s="26">
        <v>0</v>
      </c>
      <c r="AF75" s="26">
        <v>0</v>
      </c>
      <c r="AG75" s="26">
        <v>0</v>
      </c>
      <c r="AH75" s="26">
        <v>0</v>
      </c>
      <c r="AI75" s="26">
        <v>0</v>
      </c>
      <c r="AJ75" s="26">
        <v>0</v>
      </c>
      <c r="AK75" s="26">
        <v>0</v>
      </c>
      <c r="AL75" s="26">
        <v>0</v>
      </c>
      <c r="AM75" s="26">
        <v>0</v>
      </c>
    </row>
    <row r="76" spans="1:39">
      <c r="A76" s="60"/>
      <c r="B76" s="60"/>
      <c r="C76" s="49" t="s">
        <v>196</v>
      </c>
      <c r="D76" s="50"/>
      <c r="E76" s="51" t="s">
        <v>216</v>
      </c>
      <c r="F76" s="52"/>
      <c r="G76" s="26">
        <v>2</v>
      </c>
      <c r="H76" s="26">
        <v>2</v>
      </c>
      <c r="I76" s="26">
        <v>2</v>
      </c>
      <c r="J76" s="26">
        <v>2</v>
      </c>
      <c r="K76" s="26">
        <v>2</v>
      </c>
      <c r="L76" s="26">
        <v>2</v>
      </c>
      <c r="M76" s="26">
        <v>2</v>
      </c>
      <c r="N76" s="26">
        <v>2</v>
      </c>
      <c r="O76" s="26">
        <v>2</v>
      </c>
      <c r="P76" s="26">
        <v>2</v>
      </c>
      <c r="Q76" s="26">
        <v>2</v>
      </c>
      <c r="R76" s="26">
        <v>2</v>
      </c>
      <c r="S76" s="26">
        <v>2</v>
      </c>
      <c r="T76" s="26">
        <v>2</v>
      </c>
      <c r="U76" s="26">
        <v>2</v>
      </c>
      <c r="V76" s="26">
        <v>2</v>
      </c>
      <c r="W76" s="26">
        <v>2</v>
      </c>
      <c r="X76" s="26">
        <v>2</v>
      </c>
      <c r="Y76" s="26">
        <v>2</v>
      </c>
      <c r="Z76" s="26">
        <v>2</v>
      </c>
      <c r="AA76" s="26">
        <v>2</v>
      </c>
      <c r="AB76" s="26">
        <v>2</v>
      </c>
      <c r="AC76" s="28">
        <v>0</v>
      </c>
      <c r="AD76" s="26">
        <v>0</v>
      </c>
      <c r="AE76" s="26">
        <v>0</v>
      </c>
      <c r="AF76" s="26">
        <v>0</v>
      </c>
      <c r="AG76" s="26">
        <v>0</v>
      </c>
      <c r="AH76" s="26">
        <v>0</v>
      </c>
      <c r="AI76" s="26">
        <v>0</v>
      </c>
      <c r="AJ76" s="26">
        <v>0</v>
      </c>
      <c r="AK76" s="26">
        <v>0</v>
      </c>
      <c r="AL76" s="26">
        <v>0</v>
      </c>
      <c r="AM76" s="26">
        <v>0</v>
      </c>
    </row>
    <row r="77" spans="1:39">
      <c r="A77" s="60"/>
      <c r="B77" s="60"/>
      <c r="C77" s="49" t="s">
        <v>197</v>
      </c>
      <c r="D77" s="50"/>
      <c r="E77" s="51" t="s">
        <v>216</v>
      </c>
      <c r="F77" s="52"/>
      <c r="G77" s="26">
        <v>1</v>
      </c>
      <c r="H77" s="26">
        <v>1</v>
      </c>
      <c r="I77" s="26">
        <v>1</v>
      </c>
      <c r="J77" s="26">
        <v>1</v>
      </c>
      <c r="K77" s="26">
        <v>1</v>
      </c>
      <c r="L77" s="26">
        <v>1</v>
      </c>
      <c r="M77" s="26">
        <v>1</v>
      </c>
      <c r="N77" s="26">
        <v>1</v>
      </c>
      <c r="O77" s="26">
        <v>1</v>
      </c>
      <c r="P77" s="26">
        <v>1</v>
      </c>
      <c r="Q77" s="26">
        <v>1</v>
      </c>
      <c r="R77" s="26">
        <v>1</v>
      </c>
      <c r="S77" s="26">
        <v>1</v>
      </c>
      <c r="T77" s="26">
        <v>1</v>
      </c>
      <c r="U77" s="26">
        <v>1</v>
      </c>
      <c r="V77" s="26">
        <v>1</v>
      </c>
      <c r="W77" s="26">
        <v>1</v>
      </c>
      <c r="X77" s="26">
        <v>1</v>
      </c>
      <c r="Y77" s="26">
        <v>1</v>
      </c>
      <c r="Z77" s="26">
        <v>1</v>
      </c>
      <c r="AA77" s="26">
        <v>1</v>
      </c>
      <c r="AB77" s="26">
        <v>1</v>
      </c>
      <c r="AC77" s="26">
        <v>1</v>
      </c>
      <c r="AD77" s="28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6">
        <v>0</v>
      </c>
      <c r="AM77" s="26">
        <v>0</v>
      </c>
    </row>
    <row r="78" spans="1:39">
      <c r="A78" s="60"/>
      <c r="B78" s="60"/>
      <c r="C78" s="49" t="s">
        <v>198</v>
      </c>
      <c r="D78" s="50"/>
      <c r="E78" s="51" t="s">
        <v>216</v>
      </c>
      <c r="F78" s="52"/>
      <c r="G78" s="26">
        <v>1</v>
      </c>
      <c r="H78" s="26">
        <v>1</v>
      </c>
      <c r="I78" s="26">
        <v>1</v>
      </c>
      <c r="J78" s="26">
        <v>1</v>
      </c>
      <c r="K78" s="26">
        <v>1</v>
      </c>
      <c r="L78" s="26">
        <v>1</v>
      </c>
      <c r="M78" s="26">
        <v>1</v>
      </c>
      <c r="N78" s="26">
        <v>1</v>
      </c>
      <c r="O78" s="26">
        <v>1</v>
      </c>
      <c r="P78" s="26">
        <v>1</v>
      </c>
      <c r="Q78" s="26">
        <v>1</v>
      </c>
      <c r="R78" s="26">
        <v>1</v>
      </c>
      <c r="S78" s="26">
        <v>1</v>
      </c>
      <c r="T78" s="26">
        <v>1</v>
      </c>
      <c r="U78" s="26">
        <v>1</v>
      </c>
      <c r="V78" s="26">
        <v>1</v>
      </c>
      <c r="W78" s="26">
        <v>1</v>
      </c>
      <c r="X78" s="26">
        <v>1</v>
      </c>
      <c r="Y78" s="26">
        <v>1</v>
      </c>
      <c r="Z78" s="26">
        <v>1</v>
      </c>
      <c r="AA78" s="26">
        <v>1</v>
      </c>
      <c r="AB78" s="26">
        <v>1</v>
      </c>
      <c r="AC78" s="26">
        <v>1</v>
      </c>
      <c r="AD78" s="28">
        <v>0</v>
      </c>
      <c r="AE78" s="26">
        <v>0</v>
      </c>
      <c r="AF78" s="26">
        <v>0</v>
      </c>
      <c r="AG78" s="26">
        <v>0</v>
      </c>
      <c r="AH78" s="26">
        <v>0</v>
      </c>
      <c r="AI78" s="26">
        <v>0</v>
      </c>
      <c r="AJ78" s="26">
        <v>0</v>
      </c>
      <c r="AK78" s="26">
        <v>0</v>
      </c>
      <c r="AL78" s="26">
        <v>0</v>
      </c>
      <c r="AM78" s="26">
        <v>0</v>
      </c>
    </row>
    <row r="79" spans="1:39">
      <c r="A79" s="60"/>
      <c r="B79" s="60"/>
      <c r="C79" s="49" t="s">
        <v>199</v>
      </c>
      <c r="D79" s="50"/>
      <c r="E79" s="51" t="s">
        <v>216</v>
      </c>
      <c r="F79" s="52"/>
      <c r="G79" s="26">
        <v>1</v>
      </c>
      <c r="H79" s="26">
        <v>1</v>
      </c>
      <c r="I79" s="26">
        <v>1</v>
      </c>
      <c r="J79" s="26">
        <v>1</v>
      </c>
      <c r="K79" s="26">
        <v>1</v>
      </c>
      <c r="L79" s="26">
        <v>1</v>
      </c>
      <c r="M79" s="26">
        <v>1</v>
      </c>
      <c r="N79" s="26">
        <v>1</v>
      </c>
      <c r="O79" s="26">
        <v>1</v>
      </c>
      <c r="P79" s="26">
        <v>1</v>
      </c>
      <c r="Q79" s="26">
        <v>1</v>
      </c>
      <c r="R79" s="26">
        <v>1</v>
      </c>
      <c r="S79" s="26">
        <v>1</v>
      </c>
      <c r="T79" s="26">
        <v>1</v>
      </c>
      <c r="U79" s="26">
        <v>1</v>
      </c>
      <c r="V79" s="26">
        <v>1</v>
      </c>
      <c r="W79" s="26">
        <v>1</v>
      </c>
      <c r="X79" s="26">
        <v>1</v>
      </c>
      <c r="Y79" s="26">
        <v>1</v>
      </c>
      <c r="Z79" s="26">
        <v>1</v>
      </c>
      <c r="AA79" s="26">
        <v>1</v>
      </c>
      <c r="AB79" s="26">
        <v>1</v>
      </c>
      <c r="AC79" s="26">
        <v>1</v>
      </c>
      <c r="AD79" s="28">
        <v>0</v>
      </c>
      <c r="AE79" s="26">
        <v>0</v>
      </c>
      <c r="AF79" s="26">
        <v>0</v>
      </c>
      <c r="AG79" s="26">
        <v>0</v>
      </c>
      <c r="AH79" s="26">
        <v>0</v>
      </c>
      <c r="AI79" s="26">
        <v>0</v>
      </c>
      <c r="AJ79" s="26">
        <v>0</v>
      </c>
      <c r="AK79" s="26">
        <v>0</v>
      </c>
      <c r="AL79" s="26">
        <v>0</v>
      </c>
      <c r="AM79" s="26">
        <v>0</v>
      </c>
    </row>
    <row r="80" spans="1:39">
      <c r="A80" s="60"/>
      <c r="B80" s="60"/>
      <c r="C80" s="49" t="s">
        <v>200</v>
      </c>
      <c r="D80" s="50"/>
      <c r="E80" s="51" t="s">
        <v>216</v>
      </c>
      <c r="F80" s="52"/>
      <c r="G80" s="26">
        <v>1</v>
      </c>
      <c r="H80" s="26">
        <v>1</v>
      </c>
      <c r="I80" s="26">
        <v>1</v>
      </c>
      <c r="J80" s="26">
        <v>1</v>
      </c>
      <c r="K80" s="26">
        <v>1</v>
      </c>
      <c r="L80" s="26">
        <v>1</v>
      </c>
      <c r="M80" s="26">
        <v>1</v>
      </c>
      <c r="N80" s="26">
        <v>1</v>
      </c>
      <c r="O80" s="26">
        <v>1</v>
      </c>
      <c r="P80" s="26">
        <v>1</v>
      </c>
      <c r="Q80" s="26">
        <v>1</v>
      </c>
      <c r="R80" s="26">
        <v>1</v>
      </c>
      <c r="S80" s="26">
        <v>1</v>
      </c>
      <c r="T80" s="26">
        <v>1</v>
      </c>
      <c r="U80" s="26">
        <v>1</v>
      </c>
      <c r="V80" s="26">
        <v>1</v>
      </c>
      <c r="W80" s="26">
        <v>1</v>
      </c>
      <c r="X80" s="26">
        <v>1</v>
      </c>
      <c r="Y80" s="26">
        <v>1</v>
      </c>
      <c r="Z80" s="26">
        <v>1</v>
      </c>
      <c r="AA80" s="26">
        <v>1</v>
      </c>
      <c r="AB80" s="26">
        <v>1</v>
      </c>
      <c r="AC80" s="26">
        <v>1</v>
      </c>
      <c r="AD80" s="28">
        <v>0</v>
      </c>
      <c r="AE80" s="26">
        <v>0</v>
      </c>
      <c r="AF80" s="26">
        <v>0</v>
      </c>
      <c r="AG80" s="26">
        <v>0</v>
      </c>
      <c r="AH80" s="26">
        <v>0</v>
      </c>
      <c r="AI80" s="26">
        <v>0</v>
      </c>
      <c r="AJ80" s="26">
        <v>0</v>
      </c>
      <c r="AK80" s="26">
        <v>0</v>
      </c>
      <c r="AL80" s="26">
        <v>0</v>
      </c>
      <c r="AM80" s="26">
        <v>0</v>
      </c>
    </row>
    <row r="81" spans="1:39">
      <c r="A81" s="60"/>
      <c r="B81" s="60"/>
      <c r="C81" s="49" t="s">
        <v>201</v>
      </c>
      <c r="D81" s="50"/>
      <c r="E81" s="51" t="s">
        <v>216</v>
      </c>
      <c r="F81" s="52"/>
      <c r="G81" s="26">
        <v>1</v>
      </c>
      <c r="H81" s="26">
        <v>1</v>
      </c>
      <c r="I81" s="26">
        <v>1</v>
      </c>
      <c r="J81" s="26">
        <v>1</v>
      </c>
      <c r="K81" s="26">
        <v>1</v>
      </c>
      <c r="L81" s="26">
        <v>1</v>
      </c>
      <c r="M81" s="26">
        <v>1</v>
      </c>
      <c r="N81" s="26">
        <v>1</v>
      </c>
      <c r="O81" s="26">
        <v>1</v>
      </c>
      <c r="P81" s="26">
        <v>1</v>
      </c>
      <c r="Q81" s="26">
        <v>1</v>
      </c>
      <c r="R81" s="26">
        <v>1</v>
      </c>
      <c r="S81" s="26">
        <v>1</v>
      </c>
      <c r="T81" s="26">
        <v>1</v>
      </c>
      <c r="U81" s="26">
        <v>1</v>
      </c>
      <c r="V81" s="26">
        <v>1</v>
      </c>
      <c r="W81" s="26">
        <v>1</v>
      </c>
      <c r="X81" s="26">
        <v>1</v>
      </c>
      <c r="Y81" s="26">
        <v>1</v>
      </c>
      <c r="Z81" s="26">
        <v>1</v>
      </c>
      <c r="AA81" s="26">
        <v>1</v>
      </c>
      <c r="AB81" s="26">
        <v>1</v>
      </c>
      <c r="AC81" s="26">
        <v>1</v>
      </c>
      <c r="AD81" s="28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6">
        <v>0</v>
      </c>
      <c r="AM81" s="26">
        <v>0</v>
      </c>
    </row>
    <row r="82" spans="1:39">
      <c r="A82" s="60"/>
      <c r="B82" s="60"/>
      <c r="C82" s="49" t="s">
        <v>240</v>
      </c>
      <c r="D82" s="50"/>
      <c r="E82" s="51" t="s">
        <v>216</v>
      </c>
      <c r="F82" s="52"/>
      <c r="G82" s="26">
        <v>1</v>
      </c>
      <c r="H82" s="26">
        <v>1</v>
      </c>
      <c r="I82" s="26">
        <v>1</v>
      </c>
      <c r="J82" s="26">
        <v>1</v>
      </c>
      <c r="K82" s="26">
        <v>1</v>
      </c>
      <c r="L82" s="26">
        <v>1</v>
      </c>
      <c r="M82" s="26">
        <v>1</v>
      </c>
      <c r="N82" s="26">
        <v>1</v>
      </c>
      <c r="O82" s="26">
        <v>1</v>
      </c>
      <c r="P82" s="26">
        <v>1</v>
      </c>
      <c r="Q82" s="26">
        <v>1</v>
      </c>
      <c r="R82" s="26">
        <v>1</v>
      </c>
      <c r="S82" s="26">
        <v>1</v>
      </c>
      <c r="T82" s="26">
        <v>1</v>
      </c>
      <c r="U82" s="26">
        <v>1</v>
      </c>
      <c r="V82" s="26">
        <v>1</v>
      </c>
      <c r="W82" s="26">
        <v>1</v>
      </c>
      <c r="X82" s="26">
        <v>1</v>
      </c>
      <c r="Y82" s="26">
        <v>1</v>
      </c>
      <c r="Z82" s="26">
        <v>1</v>
      </c>
      <c r="AA82" s="26">
        <v>1</v>
      </c>
      <c r="AB82" s="26">
        <v>1</v>
      </c>
      <c r="AC82" s="26">
        <v>1</v>
      </c>
      <c r="AD82" s="26">
        <v>1</v>
      </c>
      <c r="AE82" s="28">
        <v>0</v>
      </c>
      <c r="AF82" s="26">
        <v>0</v>
      </c>
      <c r="AG82" s="26">
        <v>0</v>
      </c>
      <c r="AH82" s="26">
        <v>0</v>
      </c>
      <c r="AI82" s="26">
        <v>0</v>
      </c>
      <c r="AJ82" s="26">
        <v>0</v>
      </c>
      <c r="AK82" s="26">
        <v>0</v>
      </c>
      <c r="AL82" s="26">
        <v>0</v>
      </c>
      <c r="AM82" s="26">
        <v>0</v>
      </c>
    </row>
    <row r="83" spans="1:39">
      <c r="A83" s="60"/>
      <c r="B83" s="60"/>
      <c r="C83" s="49" t="s">
        <v>241</v>
      </c>
      <c r="D83" s="50"/>
      <c r="E83" s="51" t="s">
        <v>216</v>
      </c>
      <c r="F83" s="52"/>
      <c r="G83" s="26">
        <v>1</v>
      </c>
      <c r="H83" s="26">
        <v>1</v>
      </c>
      <c r="I83" s="26">
        <v>1</v>
      </c>
      <c r="J83" s="26">
        <v>1</v>
      </c>
      <c r="K83" s="26">
        <v>1</v>
      </c>
      <c r="L83" s="26">
        <v>1</v>
      </c>
      <c r="M83" s="26">
        <v>1</v>
      </c>
      <c r="N83" s="26">
        <v>1</v>
      </c>
      <c r="O83" s="26">
        <v>1</v>
      </c>
      <c r="P83" s="26">
        <v>1</v>
      </c>
      <c r="Q83" s="26">
        <v>1</v>
      </c>
      <c r="R83" s="26">
        <v>1</v>
      </c>
      <c r="S83" s="26">
        <v>1</v>
      </c>
      <c r="T83" s="26">
        <v>1</v>
      </c>
      <c r="U83" s="26">
        <v>1</v>
      </c>
      <c r="V83" s="26">
        <v>1</v>
      </c>
      <c r="W83" s="26">
        <v>1</v>
      </c>
      <c r="X83" s="26">
        <v>1</v>
      </c>
      <c r="Y83" s="26">
        <v>1</v>
      </c>
      <c r="Z83" s="26">
        <v>1</v>
      </c>
      <c r="AA83" s="26">
        <v>1</v>
      </c>
      <c r="AB83" s="26">
        <v>1</v>
      </c>
      <c r="AC83" s="26">
        <v>1</v>
      </c>
      <c r="AD83" s="26">
        <v>1</v>
      </c>
      <c r="AE83" s="28">
        <v>0</v>
      </c>
      <c r="AF83" s="26">
        <v>0</v>
      </c>
      <c r="AG83" s="26">
        <v>0</v>
      </c>
      <c r="AH83" s="26">
        <v>0</v>
      </c>
      <c r="AI83" s="26">
        <v>0</v>
      </c>
      <c r="AJ83" s="26">
        <v>0</v>
      </c>
      <c r="AK83" s="26">
        <v>0</v>
      </c>
      <c r="AL83" s="26">
        <v>0</v>
      </c>
      <c r="AM83" s="26">
        <v>0</v>
      </c>
    </row>
    <row r="84" spans="1:39">
      <c r="A84" s="60"/>
      <c r="B84" s="59" t="s">
        <v>62</v>
      </c>
      <c r="C84" s="49" t="s">
        <v>202</v>
      </c>
      <c r="D84" s="50"/>
      <c r="E84" s="51" t="s">
        <v>226</v>
      </c>
      <c r="F84" s="52"/>
      <c r="G84" s="26">
        <v>1</v>
      </c>
      <c r="H84" s="26">
        <v>2</v>
      </c>
      <c r="I84" s="26">
        <v>2</v>
      </c>
      <c r="J84" s="26">
        <v>2</v>
      </c>
      <c r="K84" s="26">
        <v>2</v>
      </c>
      <c r="L84" s="26">
        <v>2</v>
      </c>
      <c r="M84" s="26">
        <v>2</v>
      </c>
      <c r="N84" s="26">
        <v>2</v>
      </c>
      <c r="O84" s="26">
        <v>2</v>
      </c>
      <c r="P84" s="26">
        <v>2</v>
      </c>
      <c r="Q84" s="26">
        <v>2</v>
      </c>
      <c r="R84" s="26">
        <v>2</v>
      </c>
      <c r="S84" s="26">
        <v>2</v>
      </c>
      <c r="T84" s="26">
        <v>2</v>
      </c>
      <c r="U84" s="26">
        <v>2</v>
      </c>
      <c r="V84" s="26">
        <v>2</v>
      </c>
      <c r="W84" s="26">
        <v>2</v>
      </c>
      <c r="X84" s="26">
        <v>2</v>
      </c>
      <c r="Y84" s="26">
        <v>2</v>
      </c>
      <c r="Z84" s="26">
        <v>2</v>
      </c>
      <c r="AA84" s="26">
        <v>2</v>
      </c>
      <c r="AB84" s="26">
        <v>2</v>
      </c>
      <c r="AC84" s="26">
        <v>2</v>
      </c>
      <c r="AD84" s="26">
        <v>2</v>
      </c>
      <c r="AE84" s="26">
        <v>1</v>
      </c>
      <c r="AF84" s="28">
        <v>0</v>
      </c>
      <c r="AG84" s="26">
        <v>0</v>
      </c>
      <c r="AH84" s="26">
        <v>0</v>
      </c>
      <c r="AI84" s="26">
        <v>0</v>
      </c>
      <c r="AJ84" s="26">
        <v>0</v>
      </c>
      <c r="AK84" s="26">
        <v>0</v>
      </c>
      <c r="AL84" s="26">
        <v>0</v>
      </c>
      <c r="AM84" s="26">
        <v>0</v>
      </c>
    </row>
    <row r="85" spans="1:39">
      <c r="A85" s="60"/>
      <c r="B85" s="60"/>
      <c r="C85" s="66"/>
      <c r="D85" s="52"/>
      <c r="E85" s="66"/>
      <c r="F85" s="52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36"/>
      <c r="AA85" s="26"/>
      <c r="AB85" s="26"/>
      <c r="AC85" s="26"/>
      <c r="AD85" s="26"/>
      <c r="AE85" s="26"/>
      <c r="AF85" s="29">
        <v>1</v>
      </c>
      <c r="AG85" s="26">
        <v>0</v>
      </c>
      <c r="AH85" s="26">
        <v>0</v>
      </c>
      <c r="AI85" s="26">
        <v>0</v>
      </c>
      <c r="AJ85" s="26">
        <v>0</v>
      </c>
      <c r="AK85" s="26">
        <v>0</v>
      </c>
      <c r="AL85" s="26">
        <v>0</v>
      </c>
      <c r="AM85" s="26">
        <v>0</v>
      </c>
    </row>
    <row r="86" spans="1:39">
      <c r="A86" s="60"/>
      <c r="B86" s="60"/>
      <c r="C86" s="49" t="s">
        <v>203</v>
      </c>
      <c r="D86" s="50"/>
      <c r="E86" s="51" t="s">
        <v>226</v>
      </c>
      <c r="F86" s="52"/>
      <c r="G86" s="26">
        <v>2</v>
      </c>
      <c r="H86" s="26">
        <v>2</v>
      </c>
      <c r="I86" s="26">
        <v>2</v>
      </c>
      <c r="J86" s="26">
        <v>2</v>
      </c>
      <c r="K86" s="26">
        <v>2</v>
      </c>
      <c r="L86" s="26">
        <v>2</v>
      </c>
      <c r="M86" s="26">
        <v>2</v>
      </c>
      <c r="N86" s="26">
        <v>2</v>
      </c>
      <c r="O86" s="26">
        <v>2</v>
      </c>
      <c r="P86" s="26">
        <v>2</v>
      </c>
      <c r="Q86" s="26">
        <v>2</v>
      </c>
      <c r="R86" s="26">
        <v>2</v>
      </c>
      <c r="S86" s="26">
        <v>2</v>
      </c>
      <c r="T86" s="26">
        <v>2</v>
      </c>
      <c r="U86" s="26">
        <v>2</v>
      </c>
      <c r="V86" s="26">
        <v>2</v>
      </c>
      <c r="W86" s="26">
        <v>2</v>
      </c>
      <c r="X86" s="26">
        <v>2</v>
      </c>
      <c r="Y86" s="26">
        <v>2</v>
      </c>
      <c r="Z86" s="26">
        <v>2</v>
      </c>
      <c r="AA86" s="26">
        <v>2</v>
      </c>
      <c r="AB86" s="26">
        <v>2</v>
      </c>
      <c r="AC86" s="26">
        <v>2</v>
      </c>
      <c r="AD86" s="26">
        <v>2</v>
      </c>
      <c r="AE86" s="26">
        <v>2</v>
      </c>
      <c r="AF86" s="28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6">
        <v>0</v>
      </c>
      <c r="AM86" s="26">
        <v>0</v>
      </c>
    </row>
    <row r="87" spans="1:39">
      <c r="A87" s="60"/>
      <c r="B87" s="60"/>
      <c r="C87" s="49" t="s">
        <v>204</v>
      </c>
      <c r="D87" s="50"/>
      <c r="E87" s="51" t="s">
        <v>226</v>
      </c>
      <c r="F87" s="52"/>
      <c r="G87" s="26">
        <v>2</v>
      </c>
      <c r="H87" s="26">
        <v>2</v>
      </c>
      <c r="I87" s="26">
        <v>2</v>
      </c>
      <c r="J87" s="26">
        <v>2</v>
      </c>
      <c r="K87" s="26">
        <v>2</v>
      </c>
      <c r="L87" s="26">
        <v>2</v>
      </c>
      <c r="M87" s="26">
        <v>2</v>
      </c>
      <c r="N87" s="26">
        <v>2</v>
      </c>
      <c r="O87" s="26">
        <v>2</v>
      </c>
      <c r="P87" s="26">
        <v>2</v>
      </c>
      <c r="Q87" s="26">
        <v>2</v>
      </c>
      <c r="R87" s="26">
        <v>2</v>
      </c>
      <c r="S87" s="26">
        <v>2</v>
      </c>
      <c r="T87" s="26">
        <v>2</v>
      </c>
      <c r="U87" s="26">
        <v>2</v>
      </c>
      <c r="V87" s="26">
        <v>2</v>
      </c>
      <c r="W87" s="26">
        <v>2</v>
      </c>
      <c r="X87" s="26">
        <v>2</v>
      </c>
      <c r="Y87" s="26">
        <v>2</v>
      </c>
      <c r="Z87" s="26">
        <v>2</v>
      </c>
      <c r="AA87" s="26">
        <v>2</v>
      </c>
      <c r="AB87" s="26">
        <v>2</v>
      </c>
      <c r="AC87" s="26">
        <v>2</v>
      </c>
      <c r="AD87" s="26">
        <v>2</v>
      </c>
      <c r="AE87" s="26">
        <v>2</v>
      </c>
      <c r="AF87" s="26">
        <v>2</v>
      </c>
      <c r="AG87" s="28">
        <v>0</v>
      </c>
      <c r="AH87" s="26">
        <v>0</v>
      </c>
      <c r="AI87" s="26">
        <v>0</v>
      </c>
      <c r="AJ87" s="26">
        <v>0</v>
      </c>
      <c r="AK87" s="26">
        <v>0</v>
      </c>
      <c r="AL87" s="26">
        <v>0</v>
      </c>
      <c r="AM87" s="26">
        <v>0</v>
      </c>
    </row>
    <row r="88" spans="1:39">
      <c r="A88" s="60"/>
      <c r="B88" s="60"/>
      <c r="C88" s="49" t="s">
        <v>205</v>
      </c>
      <c r="D88" s="50"/>
      <c r="E88" s="51" t="s">
        <v>226</v>
      </c>
      <c r="F88" s="52"/>
      <c r="G88" s="26">
        <v>1</v>
      </c>
      <c r="H88" s="26">
        <v>2</v>
      </c>
      <c r="I88" s="26">
        <v>2</v>
      </c>
      <c r="J88" s="26">
        <v>2</v>
      </c>
      <c r="K88" s="26">
        <v>2</v>
      </c>
      <c r="L88" s="26">
        <v>2</v>
      </c>
      <c r="M88" s="26">
        <v>2</v>
      </c>
      <c r="N88" s="26">
        <v>2</v>
      </c>
      <c r="O88" s="26">
        <v>2</v>
      </c>
      <c r="P88" s="26">
        <v>2</v>
      </c>
      <c r="Q88" s="26">
        <v>2</v>
      </c>
      <c r="R88" s="26">
        <v>2</v>
      </c>
      <c r="S88" s="26">
        <v>2</v>
      </c>
      <c r="T88" s="26">
        <v>2</v>
      </c>
      <c r="U88" s="26">
        <v>2</v>
      </c>
      <c r="V88" s="26">
        <v>2</v>
      </c>
      <c r="W88" s="26">
        <v>2</v>
      </c>
      <c r="X88" s="26">
        <v>2</v>
      </c>
      <c r="Y88" s="26">
        <v>2</v>
      </c>
      <c r="Z88" s="26">
        <v>2</v>
      </c>
      <c r="AA88" s="26">
        <v>2</v>
      </c>
      <c r="AB88" s="26">
        <v>2</v>
      </c>
      <c r="AC88" s="26">
        <v>2</v>
      </c>
      <c r="AD88" s="26">
        <v>2</v>
      </c>
      <c r="AE88" s="26">
        <v>2</v>
      </c>
      <c r="AF88" s="26">
        <v>1</v>
      </c>
      <c r="AG88" s="28">
        <v>0</v>
      </c>
      <c r="AH88" s="26">
        <v>0</v>
      </c>
      <c r="AI88" s="26">
        <v>0</v>
      </c>
      <c r="AJ88" s="26">
        <v>0</v>
      </c>
      <c r="AK88" s="26">
        <v>0</v>
      </c>
      <c r="AL88" s="26">
        <v>0</v>
      </c>
      <c r="AM88" s="26">
        <v>0</v>
      </c>
    </row>
    <row r="89" spans="1:39">
      <c r="A89" s="60"/>
      <c r="B89" s="60"/>
      <c r="C89" s="66"/>
      <c r="D89" s="52"/>
      <c r="E89" s="66"/>
      <c r="F89" s="52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36"/>
      <c r="AB89" s="26"/>
      <c r="AC89" s="26"/>
      <c r="AD89" s="26"/>
      <c r="AE89" s="26"/>
      <c r="AF89" s="36"/>
      <c r="AG89" s="29">
        <v>1</v>
      </c>
      <c r="AH89" s="26"/>
      <c r="AI89" s="26"/>
      <c r="AJ89" s="26"/>
      <c r="AK89" s="26"/>
      <c r="AL89" s="26"/>
      <c r="AM89" s="26"/>
    </row>
    <row r="90" spans="1:39">
      <c r="A90" s="60"/>
      <c r="B90" s="60"/>
      <c r="C90" s="49" t="s">
        <v>206</v>
      </c>
      <c r="D90" s="50"/>
      <c r="E90" s="51" t="s">
        <v>226</v>
      </c>
      <c r="F90" s="52"/>
      <c r="G90" s="26">
        <v>2</v>
      </c>
      <c r="H90" s="26">
        <v>2</v>
      </c>
      <c r="I90" s="26">
        <v>2</v>
      </c>
      <c r="J90" s="26">
        <v>2</v>
      </c>
      <c r="K90" s="26">
        <v>2</v>
      </c>
      <c r="L90" s="26">
        <v>2</v>
      </c>
      <c r="M90" s="26">
        <v>2</v>
      </c>
      <c r="N90" s="26">
        <v>2</v>
      </c>
      <c r="O90" s="26">
        <v>2</v>
      </c>
      <c r="P90" s="26">
        <v>2</v>
      </c>
      <c r="Q90" s="26">
        <v>2</v>
      </c>
      <c r="R90" s="26">
        <v>2</v>
      </c>
      <c r="S90" s="26">
        <v>2</v>
      </c>
      <c r="T90" s="26">
        <v>2</v>
      </c>
      <c r="U90" s="26">
        <v>2</v>
      </c>
      <c r="V90" s="26">
        <v>2</v>
      </c>
      <c r="W90" s="26">
        <v>2</v>
      </c>
      <c r="X90" s="26">
        <v>2</v>
      </c>
      <c r="Y90" s="26">
        <v>2</v>
      </c>
      <c r="Z90" s="26">
        <v>2</v>
      </c>
      <c r="AA90" s="26">
        <v>2</v>
      </c>
      <c r="AB90" s="26">
        <v>2</v>
      </c>
      <c r="AC90" s="26">
        <v>2</v>
      </c>
      <c r="AD90" s="26">
        <v>2</v>
      </c>
      <c r="AE90" s="26">
        <v>2</v>
      </c>
      <c r="AF90" s="26">
        <v>2</v>
      </c>
      <c r="AG90" s="28">
        <v>0</v>
      </c>
      <c r="AH90" s="26">
        <v>0</v>
      </c>
      <c r="AI90" s="26">
        <v>0</v>
      </c>
      <c r="AJ90" s="26">
        <v>0</v>
      </c>
      <c r="AK90" s="26">
        <v>0</v>
      </c>
      <c r="AL90" s="26">
        <v>0</v>
      </c>
      <c r="AM90" s="26">
        <v>0</v>
      </c>
    </row>
    <row r="91" spans="1:39">
      <c r="A91" s="60"/>
      <c r="B91" s="60"/>
      <c r="C91" s="55" t="s">
        <v>207</v>
      </c>
      <c r="D91" s="56"/>
      <c r="E91" s="51" t="s">
        <v>226</v>
      </c>
      <c r="F91" s="52"/>
      <c r="G91" s="26">
        <v>2</v>
      </c>
      <c r="H91" s="26">
        <v>2</v>
      </c>
      <c r="I91" s="26">
        <v>2</v>
      </c>
      <c r="J91" s="26">
        <v>2</v>
      </c>
      <c r="K91" s="26">
        <v>2</v>
      </c>
      <c r="L91" s="26">
        <v>2</v>
      </c>
      <c r="M91" s="26">
        <v>2</v>
      </c>
      <c r="N91" s="26">
        <v>2</v>
      </c>
      <c r="O91" s="26">
        <v>2</v>
      </c>
      <c r="P91" s="26">
        <v>2</v>
      </c>
      <c r="Q91" s="26">
        <v>2</v>
      </c>
      <c r="R91" s="26">
        <v>2</v>
      </c>
      <c r="S91" s="26">
        <v>2</v>
      </c>
      <c r="T91" s="26">
        <v>2</v>
      </c>
      <c r="U91" s="26">
        <v>2</v>
      </c>
      <c r="V91" s="26">
        <v>2</v>
      </c>
      <c r="W91" s="26">
        <v>2</v>
      </c>
      <c r="X91" s="26">
        <v>2</v>
      </c>
      <c r="Y91" s="26">
        <v>2</v>
      </c>
      <c r="Z91" s="26">
        <v>2</v>
      </c>
      <c r="AA91" s="26">
        <v>2</v>
      </c>
      <c r="AB91" s="26">
        <v>2</v>
      </c>
      <c r="AC91" s="26">
        <v>2</v>
      </c>
      <c r="AD91" s="26">
        <v>2</v>
      </c>
      <c r="AE91" s="26">
        <v>2</v>
      </c>
      <c r="AF91" s="26">
        <v>2</v>
      </c>
      <c r="AG91" s="26">
        <v>2</v>
      </c>
      <c r="AH91" s="28">
        <v>0</v>
      </c>
      <c r="AI91" s="26">
        <v>0</v>
      </c>
      <c r="AJ91" s="26">
        <v>0</v>
      </c>
      <c r="AK91" s="26">
        <v>0</v>
      </c>
      <c r="AL91" s="26">
        <v>0</v>
      </c>
      <c r="AM91" s="26">
        <v>0</v>
      </c>
    </row>
    <row r="92" spans="1:39">
      <c r="A92" s="60"/>
      <c r="B92" s="60"/>
      <c r="C92" s="55" t="s">
        <v>208</v>
      </c>
      <c r="D92" s="56"/>
      <c r="E92" s="51" t="s">
        <v>226</v>
      </c>
      <c r="F92" s="52"/>
      <c r="G92" s="26">
        <v>2</v>
      </c>
      <c r="H92" s="26">
        <v>2</v>
      </c>
      <c r="I92" s="26">
        <v>2</v>
      </c>
      <c r="J92" s="26">
        <v>2</v>
      </c>
      <c r="K92" s="26">
        <v>2</v>
      </c>
      <c r="L92" s="26">
        <v>2</v>
      </c>
      <c r="M92" s="26">
        <v>2</v>
      </c>
      <c r="N92" s="26">
        <v>2</v>
      </c>
      <c r="O92" s="26">
        <v>2</v>
      </c>
      <c r="P92" s="26">
        <v>2</v>
      </c>
      <c r="Q92" s="26">
        <v>2</v>
      </c>
      <c r="R92" s="26">
        <v>2</v>
      </c>
      <c r="S92" s="26">
        <v>2</v>
      </c>
      <c r="T92" s="26">
        <v>2</v>
      </c>
      <c r="U92" s="26">
        <v>2</v>
      </c>
      <c r="V92" s="26">
        <v>2</v>
      </c>
      <c r="W92" s="26">
        <v>2</v>
      </c>
      <c r="X92" s="26">
        <v>2</v>
      </c>
      <c r="Y92" s="26">
        <v>2</v>
      </c>
      <c r="Z92" s="26">
        <v>2</v>
      </c>
      <c r="AA92" s="26">
        <v>2</v>
      </c>
      <c r="AB92" s="26">
        <v>2</v>
      </c>
      <c r="AC92" s="26">
        <v>2</v>
      </c>
      <c r="AD92" s="26">
        <v>2</v>
      </c>
      <c r="AE92" s="26">
        <v>2</v>
      </c>
      <c r="AF92" s="26">
        <v>2</v>
      </c>
      <c r="AG92" s="26">
        <v>2</v>
      </c>
      <c r="AH92" s="28">
        <v>0</v>
      </c>
      <c r="AI92" s="26">
        <v>0</v>
      </c>
      <c r="AJ92" s="26">
        <v>0</v>
      </c>
      <c r="AK92" s="26">
        <v>0</v>
      </c>
      <c r="AL92" s="26">
        <v>0</v>
      </c>
      <c r="AM92" s="26">
        <v>0</v>
      </c>
    </row>
    <row r="93" spans="1:39">
      <c r="A93" s="60"/>
      <c r="B93" s="60"/>
      <c r="C93" s="55" t="s">
        <v>209</v>
      </c>
      <c r="D93" s="56"/>
      <c r="E93" s="51" t="s">
        <v>226</v>
      </c>
      <c r="F93" s="52"/>
      <c r="G93" s="26">
        <v>2</v>
      </c>
      <c r="H93" s="26">
        <v>2</v>
      </c>
      <c r="I93" s="26">
        <v>2</v>
      </c>
      <c r="J93" s="26">
        <v>2</v>
      </c>
      <c r="K93" s="26">
        <v>2</v>
      </c>
      <c r="L93" s="26">
        <v>2</v>
      </c>
      <c r="M93" s="26">
        <v>2</v>
      </c>
      <c r="N93" s="26">
        <v>2</v>
      </c>
      <c r="O93" s="26">
        <v>2</v>
      </c>
      <c r="P93" s="26">
        <v>2</v>
      </c>
      <c r="Q93" s="26">
        <v>2</v>
      </c>
      <c r="R93" s="26">
        <v>2</v>
      </c>
      <c r="S93" s="26">
        <v>2</v>
      </c>
      <c r="T93" s="26">
        <v>2</v>
      </c>
      <c r="U93" s="26">
        <v>2</v>
      </c>
      <c r="V93" s="26">
        <v>2</v>
      </c>
      <c r="W93" s="26">
        <v>2</v>
      </c>
      <c r="X93" s="26">
        <v>2</v>
      </c>
      <c r="Y93" s="26">
        <v>2</v>
      </c>
      <c r="Z93" s="26">
        <v>2</v>
      </c>
      <c r="AA93" s="26">
        <v>2</v>
      </c>
      <c r="AB93" s="26">
        <v>2</v>
      </c>
      <c r="AC93" s="26">
        <v>2</v>
      </c>
      <c r="AD93" s="26">
        <v>2</v>
      </c>
      <c r="AE93" s="26">
        <v>2</v>
      </c>
      <c r="AF93" s="26">
        <v>2</v>
      </c>
      <c r="AG93" s="26">
        <v>2</v>
      </c>
      <c r="AH93" s="28">
        <v>0</v>
      </c>
      <c r="AI93" s="26">
        <v>0</v>
      </c>
      <c r="AJ93" s="26">
        <v>0</v>
      </c>
      <c r="AK93" s="26">
        <v>0</v>
      </c>
      <c r="AL93" s="26">
        <v>0</v>
      </c>
      <c r="AM93" s="26">
        <v>0</v>
      </c>
    </row>
    <row r="94" spans="1:39">
      <c r="A94" s="60"/>
      <c r="B94" s="60"/>
      <c r="C94" s="49" t="s">
        <v>210</v>
      </c>
      <c r="D94" s="50"/>
      <c r="E94" s="51" t="s">
        <v>226</v>
      </c>
      <c r="F94" s="52"/>
      <c r="G94" s="26">
        <v>2</v>
      </c>
      <c r="H94" s="26">
        <v>2</v>
      </c>
      <c r="I94" s="26">
        <v>2</v>
      </c>
      <c r="J94" s="26">
        <v>2</v>
      </c>
      <c r="K94" s="26">
        <v>2</v>
      </c>
      <c r="L94" s="26">
        <v>2</v>
      </c>
      <c r="M94" s="26">
        <v>2</v>
      </c>
      <c r="N94" s="26">
        <v>2</v>
      </c>
      <c r="O94" s="26">
        <v>2</v>
      </c>
      <c r="P94" s="26">
        <v>2</v>
      </c>
      <c r="Q94" s="26">
        <v>2</v>
      </c>
      <c r="R94" s="26">
        <v>2</v>
      </c>
      <c r="S94" s="26">
        <v>2</v>
      </c>
      <c r="T94" s="26">
        <v>2</v>
      </c>
      <c r="U94" s="26">
        <v>2</v>
      </c>
      <c r="V94" s="26">
        <v>2</v>
      </c>
      <c r="W94" s="26">
        <v>2</v>
      </c>
      <c r="X94" s="26">
        <v>2</v>
      </c>
      <c r="Y94" s="26">
        <v>2</v>
      </c>
      <c r="Z94" s="26">
        <v>2</v>
      </c>
      <c r="AA94" s="26">
        <v>2</v>
      </c>
      <c r="AB94" s="26">
        <v>2</v>
      </c>
      <c r="AC94" s="26">
        <v>2</v>
      </c>
      <c r="AD94" s="26">
        <v>2</v>
      </c>
      <c r="AE94" s="26">
        <v>2</v>
      </c>
      <c r="AF94" s="26">
        <v>2</v>
      </c>
      <c r="AG94" s="26">
        <v>2</v>
      </c>
      <c r="AH94" s="28">
        <v>0</v>
      </c>
      <c r="AI94" s="26">
        <v>0</v>
      </c>
      <c r="AJ94" s="26">
        <v>0</v>
      </c>
      <c r="AK94" s="26">
        <v>0</v>
      </c>
      <c r="AL94" s="26">
        <v>0</v>
      </c>
      <c r="AM94" s="26">
        <v>0</v>
      </c>
    </row>
    <row r="95" spans="1:39">
      <c r="A95" s="60"/>
      <c r="B95" s="60"/>
      <c r="C95" s="49" t="s">
        <v>242</v>
      </c>
      <c r="D95" s="50"/>
      <c r="E95" s="51" t="s">
        <v>226</v>
      </c>
      <c r="F95" s="52"/>
      <c r="G95" s="26">
        <v>2</v>
      </c>
      <c r="H95" s="26">
        <v>2</v>
      </c>
      <c r="I95" s="26">
        <v>2</v>
      </c>
      <c r="J95" s="26">
        <v>2</v>
      </c>
      <c r="K95" s="26">
        <v>2</v>
      </c>
      <c r="L95" s="26">
        <v>2</v>
      </c>
      <c r="M95" s="26">
        <v>2</v>
      </c>
      <c r="N95" s="26">
        <v>2</v>
      </c>
      <c r="O95" s="26">
        <v>2</v>
      </c>
      <c r="P95" s="26">
        <v>2</v>
      </c>
      <c r="Q95" s="26">
        <v>2</v>
      </c>
      <c r="R95" s="26">
        <v>2</v>
      </c>
      <c r="S95" s="26">
        <v>2</v>
      </c>
      <c r="T95" s="26">
        <v>2</v>
      </c>
      <c r="U95" s="26">
        <v>2</v>
      </c>
      <c r="V95" s="26">
        <v>2</v>
      </c>
      <c r="W95" s="26">
        <v>2</v>
      </c>
      <c r="X95" s="26">
        <v>2</v>
      </c>
      <c r="Y95" s="26">
        <v>2</v>
      </c>
      <c r="Z95" s="26">
        <v>2</v>
      </c>
      <c r="AA95" s="26">
        <v>2</v>
      </c>
      <c r="AB95" s="26">
        <v>2</v>
      </c>
      <c r="AC95" s="26">
        <v>2</v>
      </c>
      <c r="AD95" s="26">
        <v>2</v>
      </c>
      <c r="AE95" s="26">
        <v>2</v>
      </c>
      <c r="AF95" s="26">
        <v>2</v>
      </c>
      <c r="AG95" s="26">
        <v>2</v>
      </c>
      <c r="AH95" s="26">
        <v>2</v>
      </c>
      <c r="AI95" s="28">
        <v>0</v>
      </c>
      <c r="AJ95" s="26">
        <v>0</v>
      </c>
      <c r="AK95" s="26">
        <v>0</v>
      </c>
      <c r="AL95" s="26">
        <v>0</v>
      </c>
      <c r="AM95" s="26">
        <v>0</v>
      </c>
    </row>
    <row r="96" spans="1:39">
      <c r="A96" s="60"/>
      <c r="B96" s="61"/>
      <c r="C96" s="55" t="s">
        <v>243</v>
      </c>
      <c r="D96" s="56"/>
      <c r="E96" s="51" t="s">
        <v>226</v>
      </c>
      <c r="F96" s="52"/>
      <c r="G96" s="26">
        <v>2</v>
      </c>
      <c r="H96" s="26">
        <v>2</v>
      </c>
      <c r="I96" s="26">
        <v>2</v>
      </c>
      <c r="J96" s="26">
        <v>2</v>
      </c>
      <c r="K96" s="26">
        <v>2</v>
      </c>
      <c r="L96" s="26">
        <v>2</v>
      </c>
      <c r="M96" s="26">
        <v>2</v>
      </c>
      <c r="N96" s="26">
        <v>2</v>
      </c>
      <c r="O96" s="26">
        <v>2</v>
      </c>
      <c r="P96" s="26">
        <v>2</v>
      </c>
      <c r="Q96" s="26">
        <v>2</v>
      </c>
      <c r="R96" s="26">
        <v>2</v>
      </c>
      <c r="S96" s="26">
        <v>2</v>
      </c>
      <c r="T96" s="26">
        <v>2</v>
      </c>
      <c r="U96" s="26">
        <v>2</v>
      </c>
      <c r="V96" s="26">
        <v>2</v>
      </c>
      <c r="W96" s="26">
        <v>2</v>
      </c>
      <c r="X96" s="26">
        <v>2</v>
      </c>
      <c r="Y96" s="26">
        <v>2</v>
      </c>
      <c r="Z96" s="26">
        <v>2</v>
      </c>
      <c r="AA96" s="26">
        <v>2</v>
      </c>
      <c r="AB96" s="26">
        <v>2</v>
      </c>
      <c r="AC96" s="26">
        <v>2</v>
      </c>
      <c r="AD96" s="26">
        <v>2</v>
      </c>
      <c r="AE96" s="26">
        <v>2</v>
      </c>
      <c r="AF96" s="26">
        <v>2</v>
      </c>
      <c r="AG96" s="26">
        <v>2</v>
      </c>
      <c r="AH96" s="26">
        <v>2</v>
      </c>
      <c r="AI96" s="28">
        <v>0</v>
      </c>
      <c r="AJ96" s="26">
        <v>0</v>
      </c>
      <c r="AK96" s="26">
        <v>0</v>
      </c>
      <c r="AL96" s="26">
        <v>0</v>
      </c>
      <c r="AM96" s="26">
        <v>0</v>
      </c>
    </row>
    <row r="97" spans="1:39">
      <c r="A97" s="60"/>
      <c r="B97" s="59" t="s">
        <v>71</v>
      </c>
      <c r="C97" s="49" t="s">
        <v>193</v>
      </c>
      <c r="D97" s="50"/>
      <c r="E97" s="80" t="s">
        <v>216</v>
      </c>
      <c r="F97" s="81"/>
      <c r="G97" s="26">
        <v>1</v>
      </c>
      <c r="H97" s="26">
        <v>2</v>
      </c>
      <c r="I97" s="26">
        <v>2</v>
      </c>
      <c r="J97" s="26">
        <v>2</v>
      </c>
      <c r="K97" s="26">
        <v>2</v>
      </c>
      <c r="L97" s="26">
        <v>2</v>
      </c>
      <c r="M97" s="26">
        <v>2</v>
      </c>
      <c r="N97" s="26">
        <v>2</v>
      </c>
      <c r="O97" s="26">
        <v>2</v>
      </c>
      <c r="P97" s="26">
        <v>2</v>
      </c>
      <c r="Q97" s="26">
        <v>2</v>
      </c>
      <c r="R97" s="26">
        <v>2</v>
      </c>
      <c r="S97" s="26">
        <v>2</v>
      </c>
      <c r="T97" s="26">
        <v>2</v>
      </c>
      <c r="U97" s="26">
        <v>2</v>
      </c>
      <c r="V97" s="26">
        <v>2</v>
      </c>
      <c r="W97" s="26">
        <v>2</v>
      </c>
      <c r="X97" s="26">
        <v>2</v>
      </c>
      <c r="Y97" s="26">
        <v>2</v>
      </c>
      <c r="Z97" s="26">
        <v>2</v>
      </c>
      <c r="AA97" s="26">
        <v>2</v>
      </c>
      <c r="AB97" s="26">
        <v>2</v>
      </c>
      <c r="AC97" s="26">
        <v>2</v>
      </c>
      <c r="AD97" s="26">
        <v>2</v>
      </c>
      <c r="AE97" s="26">
        <v>2</v>
      </c>
      <c r="AF97" s="26">
        <v>2</v>
      </c>
      <c r="AG97" s="26">
        <v>2</v>
      </c>
      <c r="AH97" s="26">
        <v>2</v>
      </c>
      <c r="AI97" s="26">
        <v>1</v>
      </c>
      <c r="AJ97" s="28">
        <v>0</v>
      </c>
      <c r="AK97" s="26">
        <v>0</v>
      </c>
      <c r="AL97" s="26">
        <v>0</v>
      </c>
      <c r="AM97" s="26">
        <v>0</v>
      </c>
    </row>
    <row r="98" spans="1:39">
      <c r="A98" s="60"/>
      <c r="B98" s="60"/>
      <c r="C98" s="66"/>
      <c r="D98" s="52"/>
      <c r="E98" s="80"/>
      <c r="F98" s="81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36"/>
      <c r="AC98" s="26"/>
      <c r="AD98" s="26"/>
      <c r="AE98" s="26"/>
      <c r="AF98" s="26"/>
      <c r="AG98" s="26"/>
      <c r="AH98" s="26"/>
      <c r="AI98" s="26"/>
      <c r="AJ98" s="29">
        <v>1</v>
      </c>
      <c r="AK98" s="26"/>
      <c r="AL98" s="26"/>
      <c r="AM98" s="26"/>
    </row>
    <row r="99" spans="1:39">
      <c r="A99" s="60"/>
      <c r="B99" s="60"/>
      <c r="C99" s="49" t="s">
        <v>194</v>
      </c>
      <c r="D99" s="50"/>
      <c r="E99" s="80" t="s">
        <v>216</v>
      </c>
      <c r="F99" s="81"/>
      <c r="G99" s="26">
        <v>2</v>
      </c>
      <c r="H99" s="26">
        <v>2</v>
      </c>
      <c r="I99" s="26">
        <v>2</v>
      </c>
      <c r="J99" s="26">
        <v>2</v>
      </c>
      <c r="K99" s="26">
        <v>2</v>
      </c>
      <c r="L99" s="26">
        <v>2</v>
      </c>
      <c r="M99" s="26">
        <v>2</v>
      </c>
      <c r="N99" s="26">
        <v>2</v>
      </c>
      <c r="O99" s="26">
        <v>2</v>
      </c>
      <c r="P99" s="26">
        <v>2</v>
      </c>
      <c r="Q99" s="26">
        <v>2</v>
      </c>
      <c r="R99" s="26">
        <v>2</v>
      </c>
      <c r="S99" s="26">
        <v>2</v>
      </c>
      <c r="T99" s="26">
        <v>2</v>
      </c>
      <c r="U99" s="26">
        <v>2</v>
      </c>
      <c r="V99" s="26">
        <v>2</v>
      </c>
      <c r="W99" s="26">
        <v>2</v>
      </c>
      <c r="X99" s="26">
        <v>2</v>
      </c>
      <c r="Y99" s="26">
        <v>2</v>
      </c>
      <c r="Z99" s="26">
        <v>2</v>
      </c>
      <c r="AA99" s="26">
        <v>2</v>
      </c>
      <c r="AB99" s="26">
        <v>2</v>
      </c>
      <c r="AC99" s="26">
        <v>2</v>
      </c>
      <c r="AD99" s="26">
        <v>2</v>
      </c>
      <c r="AE99" s="26">
        <v>2</v>
      </c>
      <c r="AF99" s="26">
        <v>2</v>
      </c>
      <c r="AG99" s="26">
        <v>2</v>
      </c>
      <c r="AH99" s="26">
        <v>2</v>
      </c>
      <c r="AI99" s="26">
        <v>2</v>
      </c>
      <c r="AJ99" s="28">
        <v>0</v>
      </c>
      <c r="AK99" s="26">
        <v>0</v>
      </c>
      <c r="AL99" s="26">
        <v>0</v>
      </c>
      <c r="AM99" s="26">
        <v>0</v>
      </c>
    </row>
    <row r="100" spans="1:39">
      <c r="A100" s="60"/>
      <c r="B100" s="60"/>
      <c r="C100" s="49" t="s">
        <v>195</v>
      </c>
      <c r="D100" s="50"/>
      <c r="E100" s="80" t="s">
        <v>216</v>
      </c>
      <c r="F100" s="81"/>
      <c r="G100" s="26">
        <v>2</v>
      </c>
      <c r="H100" s="26">
        <v>2</v>
      </c>
      <c r="I100" s="26">
        <v>2</v>
      </c>
      <c r="J100" s="26">
        <v>2</v>
      </c>
      <c r="K100" s="26">
        <v>2</v>
      </c>
      <c r="L100" s="26">
        <v>2</v>
      </c>
      <c r="M100" s="26">
        <v>2</v>
      </c>
      <c r="N100" s="26">
        <v>2</v>
      </c>
      <c r="O100" s="26">
        <v>2</v>
      </c>
      <c r="P100" s="26">
        <v>2</v>
      </c>
      <c r="Q100" s="26">
        <v>2</v>
      </c>
      <c r="R100" s="26">
        <v>2</v>
      </c>
      <c r="S100" s="26">
        <v>2</v>
      </c>
      <c r="T100" s="26">
        <v>2</v>
      </c>
      <c r="U100" s="26">
        <v>2</v>
      </c>
      <c r="V100" s="26">
        <v>2</v>
      </c>
      <c r="W100" s="26">
        <v>2</v>
      </c>
      <c r="X100" s="26">
        <v>2</v>
      </c>
      <c r="Y100" s="26">
        <v>2</v>
      </c>
      <c r="Z100" s="26">
        <v>2</v>
      </c>
      <c r="AA100" s="26">
        <v>2</v>
      </c>
      <c r="AB100" s="26">
        <v>2</v>
      </c>
      <c r="AC100" s="26">
        <v>2</v>
      </c>
      <c r="AD100" s="26">
        <v>2</v>
      </c>
      <c r="AE100" s="26">
        <v>2</v>
      </c>
      <c r="AF100" s="26">
        <v>2</v>
      </c>
      <c r="AG100" s="26">
        <v>2</v>
      </c>
      <c r="AH100" s="26">
        <v>2</v>
      </c>
      <c r="AI100" s="26">
        <v>2</v>
      </c>
      <c r="AJ100" s="28">
        <v>0</v>
      </c>
      <c r="AK100" s="26">
        <v>0</v>
      </c>
      <c r="AL100" s="26">
        <v>0</v>
      </c>
      <c r="AM100" s="26">
        <v>0</v>
      </c>
    </row>
    <row r="101" spans="1:39">
      <c r="A101" s="60"/>
      <c r="B101" s="60"/>
      <c r="C101" s="49" t="s">
        <v>196</v>
      </c>
      <c r="D101" s="50"/>
      <c r="E101" s="80" t="s">
        <v>216</v>
      </c>
      <c r="F101" s="81"/>
      <c r="G101" s="26">
        <v>3</v>
      </c>
      <c r="H101" s="26">
        <v>2</v>
      </c>
      <c r="I101" s="26">
        <v>2</v>
      </c>
      <c r="J101" s="26">
        <v>2</v>
      </c>
      <c r="K101" s="26">
        <v>2</v>
      </c>
      <c r="L101" s="26">
        <v>2</v>
      </c>
      <c r="M101" s="26">
        <v>2</v>
      </c>
      <c r="N101" s="26">
        <v>2</v>
      </c>
      <c r="O101" s="26">
        <v>2</v>
      </c>
      <c r="P101" s="26">
        <v>2</v>
      </c>
      <c r="Q101" s="26">
        <v>2</v>
      </c>
      <c r="R101" s="26">
        <v>2</v>
      </c>
      <c r="S101" s="26">
        <v>2</v>
      </c>
      <c r="T101" s="26">
        <v>2</v>
      </c>
      <c r="U101" s="26">
        <v>2</v>
      </c>
      <c r="V101" s="26">
        <v>2</v>
      </c>
      <c r="W101" s="26">
        <v>2</v>
      </c>
      <c r="X101" s="26">
        <v>2</v>
      </c>
      <c r="Y101" s="26">
        <v>2</v>
      </c>
      <c r="Z101" s="26">
        <v>2</v>
      </c>
      <c r="AA101" s="26">
        <v>2</v>
      </c>
      <c r="AB101" s="26">
        <v>2</v>
      </c>
      <c r="AC101" s="26">
        <v>2</v>
      </c>
      <c r="AD101" s="26">
        <v>2</v>
      </c>
      <c r="AE101" s="26">
        <v>2</v>
      </c>
      <c r="AF101" s="26">
        <v>2</v>
      </c>
      <c r="AG101" s="26">
        <v>2</v>
      </c>
      <c r="AH101" s="26">
        <v>2</v>
      </c>
      <c r="AI101" s="26">
        <v>2</v>
      </c>
      <c r="AJ101" s="26">
        <v>2</v>
      </c>
      <c r="AK101" s="28">
        <v>0</v>
      </c>
      <c r="AL101" s="26">
        <v>0</v>
      </c>
      <c r="AM101" s="26">
        <v>0</v>
      </c>
    </row>
    <row r="102" spans="1:39">
      <c r="A102" s="60"/>
      <c r="B102" s="60"/>
      <c r="C102" s="66"/>
      <c r="D102" s="52"/>
      <c r="E102" s="80"/>
      <c r="F102" s="81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41"/>
      <c r="AC102" s="26"/>
      <c r="AD102" s="26"/>
      <c r="AE102" s="26"/>
      <c r="AF102" s="26"/>
      <c r="AG102" s="26"/>
      <c r="AH102" s="26"/>
      <c r="AI102" s="26"/>
      <c r="AJ102" s="26"/>
      <c r="AK102" s="30">
        <v>1</v>
      </c>
      <c r="AL102" s="26"/>
      <c r="AM102" s="26"/>
    </row>
    <row r="103" spans="1:39">
      <c r="A103" s="60"/>
      <c r="B103" s="60"/>
      <c r="C103" s="49" t="s">
        <v>197</v>
      </c>
      <c r="D103" s="50"/>
      <c r="E103" s="80" t="s">
        <v>216</v>
      </c>
      <c r="F103" s="81"/>
      <c r="G103" s="26">
        <v>2</v>
      </c>
      <c r="H103" s="26">
        <v>2</v>
      </c>
      <c r="I103" s="26">
        <v>2</v>
      </c>
      <c r="J103" s="26">
        <v>2</v>
      </c>
      <c r="K103" s="26">
        <v>2</v>
      </c>
      <c r="L103" s="26">
        <v>2</v>
      </c>
      <c r="M103" s="26">
        <v>2</v>
      </c>
      <c r="N103" s="26">
        <v>2</v>
      </c>
      <c r="O103" s="26">
        <v>2</v>
      </c>
      <c r="P103" s="26">
        <v>2</v>
      </c>
      <c r="Q103" s="26">
        <v>2</v>
      </c>
      <c r="R103" s="26">
        <v>2</v>
      </c>
      <c r="S103" s="26">
        <v>2</v>
      </c>
      <c r="T103" s="26">
        <v>2</v>
      </c>
      <c r="U103" s="26">
        <v>2</v>
      </c>
      <c r="V103" s="26">
        <v>2</v>
      </c>
      <c r="W103" s="26">
        <v>2</v>
      </c>
      <c r="X103" s="26">
        <v>2</v>
      </c>
      <c r="Y103" s="26">
        <v>2</v>
      </c>
      <c r="Z103" s="26">
        <v>2</v>
      </c>
      <c r="AA103" s="26">
        <v>2</v>
      </c>
      <c r="AB103" s="26">
        <v>2</v>
      </c>
      <c r="AC103" s="26">
        <v>2</v>
      </c>
      <c r="AD103" s="26">
        <v>2</v>
      </c>
      <c r="AE103" s="26">
        <v>2</v>
      </c>
      <c r="AF103" s="26">
        <v>2</v>
      </c>
      <c r="AG103" s="26">
        <v>2</v>
      </c>
      <c r="AH103" s="26">
        <v>2</v>
      </c>
      <c r="AI103" s="26">
        <v>2</v>
      </c>
      <c r="AJ103" s="26">
        <v>2</v>
      </c>
      <c r="AK103" s="28">
        <v>0</v>
      </c>
      <c r="AL103" s="26">
        <v>0</v>
      </c>
      <c r="AM103" s="26">
        <v>0</v>
      </c>
    </row>
    <row r="104" spans="1:39">
      <c r="A104" s="60"/>
      <c r="B104" s="60"/>
      <c r="C104" s="49" t="s">
        <v>198</v>
      </c>
      <c r="D104" s="50"/>
      <c r="E104" s="80" t="s">
        <v>216</v>
      </c>
      <c r="F104" s="81"/>
      <c r="G104" s="26">
        <v>2</v>
      </c>
      <c r="H104" s="26">
        <v>2</v>
      </c>
      <c r="I104" s="26">
        <v>2</v>
      </c>
      <c r="J104" s="26">
        <v>2</v>
      </c>
      <c r="K104" s="26">
        <v>2</v>
      </c>
      <c r="L104" s="26">
        <v>2</v>
      </c>
      <c r="M104" s="26">
        <v>2</v>
      </c>
      <c r="N104" s="26">
        <v>2</v>
      </c>
      <c r="O104" s="26">
        <v>2</v>
      </c>
      <c r="P104" s="26">
        <v>2</v>
      </c>
      <c r="Q104" s="26">
        <v>2</v>
      </c>
      <c r="R104" s="26">
        <v>2</v>
      </c>
      <c r="S104" s="26">
        <v>2</v>
      </c>
      <c r="T104" s="26">
        <v>2</v>
      </c>
      <c r="U104" s="26">
        <v>2</v>
      </c>
      <c r="V104" s="26">
        <v>2</v>
      </c>
      <c r="W104" s="26">
        <v>2</v>
      </c>
      <c r="X104" s="26">
        <v>2</v>
      </c>
      <c r="Y104" s="26">
        <v>2</v>
      </c>
      <c r="Z104" s="26">
        <v>2</v>
      </c>
      <c r="AA104" s="26">
        <v>2</v>
      </c>
      <c r="AB104" s="26">
        <v>2</v>
      </c>
      <c r="AC104" s="26">
        <v>2</v>
      </c>
      <c r="AD104" s="26">
        <v>2</v>
      </c>
      <c r="AE104" s="26">
        <v>2</v>
      </c>
      <c r="AF104" s="26">
        <v>2</v>
      </c>
      <c r="AG104" s="26">
        <v>2</v>
      </c>
      <c r="AH104" s="26">
        <v>2</v>
      </c>
      <c r="AI104" s="26">
        <v>2</v>
      </c>
      <c r="AJ104" s="26">
        <v>2</v>
      </c>
      <c r="AK104" s="26">
        <v>2</v>
      </c>
      <c r="AL104" s="28">
        <v>0</v>
      </c>
      <c r="AM104" s="26">
        <v>0</v>
      </c>
    </row>
    <row r="105" spans="1:39">
      <c r="A105" s="60"/>
      <c r="B105" s="60"/>
      <c r="C105" s="49" t="s">
        <v>199</v>
      </c>
      <c r="D105" s="50"/>
      <c r="E105" s="80" t="s">
        <v>216</v>
      </c>
      <c r="F105" s="81"/>
      <c r="G105" s="26">
        <v>2</v>
      </c>
      <c r="H105" s="26">
        <v>2</v>
      </c>
      <c r="I105" s="26">
        <v>2</v>
      </c>
      <c r="J105" s="26">
        <v>2</v>
      </c>
      <c r="K105" s="26">
        <v>2</v>
      </c>
      <c r="L105" s="26">
        <v>2</v>
      </c>
      <c r="M105" s="26">
        <v>2</v>
      </c>
      <c r="N105" s="26">
        <v>2</v>
      </c>
      <c r="O105" s="26">
        <v>2</v>
      </c>
      <c r="P105" s="26">
        <v>2</v>
      </c>
      <c r="Q105" s="26">
        <v>2</v>
      </c>
      <c r="R105" s="26">
        <v>2</v>
      </c>
      <c r="S105" s="26">
        <v>2</v>
      </c>
      <c r="T105" s="26">
        <v>2</v>
      </c>
      <c r="U105" s="26">
        <v>2</v>
      </c>
      <c r="V105" s="26">
        <v>2</v>
      </c>
      <c r="W105" s="26">
        <v>2</v>
      </c>
      <c r="X105" s="26">
        <v>2</v>
      </c>
      <c r="Y105" s="26">
        <v>2</v>
      </c>
      <c r="Z105" s="26">
        <v>2</v>
      </c>
      <c r="AA105" s="26">
        <v>2</v>
      </c>
      <c r="AB105" s="26">
        <v>2</v>
      </c>
      <c r="AC105" s="26">
        <v>2</v>
      </c>
      <c r="AD105" s="26">
        <v>2</v>
      </c>
      <c r="AE105" s="26">
        <v>2</v>
      </c>
      <c r="AF105" s="26">
        <v>2</v>
      </c>
      <c r="AG105" s="26">
        <v>2</v>
      </c>
      <c r="AH105" s="26">
        <v>2</v>
      </c>
      <c r="AI105" s="26">
        <v>2</v>
      </c>
      <c r="AJ105" s="26">
        <v>2</v>
      </c>
      <c r="AK105" s="26">
        <v>2</v>
      </c>
      <c r="AL105" s="28">
        <v>0</v>
      </c>
      <c r="AM105" s="26">
        <v>0</v>
      </c>
    </row>
    <row r="106" spans="1:39">
      <c r="A106" s="60"/>
      <c r="B106" s="60"/>
      <c r="C106" s="49" t="s">
        <v>200</v>
      </c>
      <c r="D106" s="50"/>
      <c r="E106" s="80" t="s">
        <v>216</v>
      </c>
      <c r="F106" s="81"/>
      <c r="G106" s="26">
        <v>2</v>
      </c>
      <c r="H106" s="26">
        <v>2</v>
      </c>
      <c r="I106" s="26">
        <v>2</v>
      </c>
      <c r="J106" s="26">
        <v>2</v>
      </c>
      <c r="K106" s="26">
        <v>2</v>
      </c>
      <c r="L106" s="26">
        <v>2</v>
      </c>
      <c r="M106" s="26">
        <v>2</v>
      </c>
      <c r="N106" s="26">
        <v>2</v>
      </c>
      <c r="O106" s="26">
        <v>2</v>
      </c>
      <c r="P106" s="26">
        <v>2</v>
      </c>
      <c r="Q106" s="26">
        <v>2</v>
      </c>
      <c r="R106" s="26">
        <v>2</v>
      </c>
      <c r="S106" s="26">
        <v>2</v>
      </c>
      <c r="T106" s="26">
        <v>2</v>
      </c>
      <c r="U106" s="26">
        <v>2</v>
      </c>
      <c r="V106" s="26">
        <v>2</v>
      </c>
      <c r="W106" s="26">
        <v>2</v>
      </c>
      <c r="X106" s="26">
        <v>2</v>
      </c>
      <c r="Y106" s="26">
        <v>2</v>
      </c>
      <c r="Z106" s="26">
        <v>2</v>
      </c>
      <c r="AA106" s="26">
        <v>2</v>
      </c>
      <c r="AB106" s="26">
        <v>2</v>
      </c>
      <c r="AC106" s="26">
        <v>2</v>
      </c>
      <c r="AD106" s="26">
        <v>2</v>
      </c>
      <c r="AE106" s="26">
        <v>2</v>
      </c>
      <c r="AF106" s="26">
        <v>2</v>
      </c>
      <c r="AG106" s="26">
        <v>2</v>
      </c>
      <c r="AH106" s="26">
        <v>2</v>
      </c>
      <c r="AI106" s="26">
        <v>2</v>
      </c>
      <c r="AJ106" s="26">
        <v>2</v>
      </c>
      <c r="AK106" s="26">
        <v>2</v>
      </c>
      <c r="AL106" s="28">
        <v>0</v>
      </c>
      <c r="AM106" s="26">
        <v>0</v>
      </c>
    </row>
    <row r="107" spans="1:39">
      <c r="A107" s="60"/>
      <c r="B107" s="60"/>
      <c r="C107" s="91" t="s">
        <v>201</v>
      </c>
      <c r="D107" s="50"/>
      <c r="E107" s="80" t="s">
        <v>216</v>
      </c>
      <c r="F107" s="81"/>
      <c r="G107" s="26">
        <v>2</v>
      </c>
      <c r="H107" s="26">
        <v>2</v>
      </c>
      <c r="I107" s="26">
        <v>2</v>
      </c>
      <c r="J107" s="26">
        <v>2</v>
      </c>
      <c r="K107" s="26">
        <v>2</v>
      </c>
      <c r="L107" s="26">
        <v>2</v>
      </c>
      <c r="M107" s="26">
        <v>2</v>
      </c>
      <c r="N107" s="26">
        <v>2</v>
      </c>
      <c r="O107" s="26">
        <v>2</v>
      </c>
      <c r="P107" s="26">
        <v>2</v>
      </c>
      <c r="Q107" s="26">
        <v>2</v>
      </c>
      <c r="R107" s="26">
        <v>2</v>
      </c>
      <c r="S107" s="26">
        <v>2</v>
      </c>
      <c r="T107" s="26">
        <v>2</v>
      </c>
      <c r="U107" s="26">
        <v>2</v>
      </c>
      <c r="V107" s="26">
        <v>2</v>
      </c>
      <c r="W107" s="26">
        <v>2</v>
      </c>
      <c r="X107" s="26">
        <v>2</v>
      </c>
      <c r="Y107" s="26">
        <v>2</v>
      </c>
      <c r="Z107" s="26">
        <v>2</v>
      </c>
      <c r="AA107" s="26">
        <v>2</v>
      </c>
      <c r="AB107" s="26">
        <v>2</v>
      </c>
      <c r="AC107" s="26">
        <v>2</v>
      </c>
      <c r="AD107" s="26">
        <v>2</v>
      </c>
      <c r="AE107" s="26">
        <v>2</v>
      </c>
      <c r="AF107" s="26">
        <v>2</v>
      </c>
      <c r="AG107" s="26">
        <v>2</v>
      </c>
      <c r="AH107" s="26">
        <v>2</v>
      </c>
      <c r="AI107" s="26">
        <v>2</v>
      </c>
      <c r="AJ107" s="26">
        <v>2</v>
      </c>
      <c r="AK107" s="26">
        <v>2</v>
      </c>
      <c r="AL107" s="28">
        <v>0</v>
      </c>
      <c r="AM107" s="26">
        <v>0</v>
      </c>
    </row>
    <row r="108" spans="1:39">
      <c r="A108" s="60"/>
      <c r="B108" s="60"/>
      <c r="C108" s="91" t="s">
        <v>240</v>
      </c>
      <c r="D108" s="50"/>
      <c r="E108" s="80" t="s">
        <v>216</v>
      </c>
      <c r="F108" s="81"/>
      <c r="G108" s="26">
        <v>2</v>
      </c>
      <c r="H108" s="26">
        <v>2</v>
      </c>
      <c r="I108" s="26">
        <v>2</v>
      </c>
      <c r="J108" s="26">
        <v>2</v>
      </c>
      <c r="K108" s="26">
        <v>2</v>
      </c>
      <c r="L108" s="26">
        <v>2</v>
      </c>
      <c r="M108" s="26">
        <v>2</v>
      </c>
      <c r="N108" s="26">
        <v>2</v>
      </c>
      <c r="O108" s="26">
        <v>2</v>
      </c>
      <c r="P108" s="26">
        <v>2</v>
      </c>
      <c r="Q108" s="26">
        <v>2</v>
      </c>
      <c r="R108" s="26">
        <v>2</v>
      </c>
      <c r="S108" s="26">
        <v>2</v>
      </c>
      <c r="T108" s="26">
        <v>2</v>
      </c>
      <c r="U108" s="26">
        <v>2</v>
      </c>
      <c r="V108" s="26">
        <v>2</v>
      </c>
      <c r="W108" s="26">
        <v>2</v>
      </c>
      <c r="X108" s="26">
        <v>2</v>
      </c>
      <c r="Y108" s="26">
        <v>2</v>
      </c>
      <c r="Z108" s="26">
        <v>2</v>
      </c>
      <c r="AA108" s="26">
        <v>2</v>
      </c>
      <c r="AB108" s="26">
        <v>2</v>
      </c>
      <c r="AC108" s="26">
        <v>2</v>
      </c>
      <c r="AD108" s="26">
        <v>2</v>
      </c>
      <c r="AE108" s="26">
        <v>2</v>
      </c>
      <c r="AF108" s="26">
        <v>2</v>
      </c>
      <c r="AG108" s="26">
        <v>2</v>
      </c>
      <c r="AH108" s="26">
        <v>2</v>
      </c>
      <c r="AI108" s="26">
        <v>2</v>
      </c>
      <c r="AJ108" s="26">
        <v>2</v>
      </c>
      <c r="AK108" s="26">
        <v>2</v>
      </c>
      <c r="AL108" s="28">
        <v>0</v>
      </c>
      <c r="AM108" s="26">
        <v>0</v>
      </c>
    </row>
    <row r="109" spans="1:39">
      <c r="A109" s="60"/>
      <c r="B109" s="61"/>
      <c r="C109" s="91" t="s">
        <v>241</v>
      </c>
      <c r="D109" s="50"/>
      <c r="E109" s="80" t="s">
        <v>216</v>
      </c>
      <c r="F109" s="81"/>
      <c r="G109" s="26">
        <v>2</v>
      </c>
      <c r="H109" s="26">
        <v>2</v>
      </c>
      <c r="I109" s="26">
        <v>2</v>
      </c>
      <c r="J109" s="26">
        <v>2</v>
      </c>
      <c r="K109" s="26">
        <v>2</v>
      </c>
      <c r="L109" s="26">
        <v>2</v>
      </c>
      <c r="M109" s="26">
        <v>2</v>
      </c>
      <c r="N109" s="26">
        <v>2</v>
      </c>
      <c r="O109" s="26">
        <v>2</v>
      </c>
      <c r="P109" s="26">
        <v>2</v>
      </c>
      <c r="Q109" s="26">
        <v>2</v>
      </c>
      <c r="R109" s="26">
        <v>2</v>
      </c>
      <c r="S109" s="26">
        <v>2</v>
      </c>
      <c r="T109" s="26">
        <v>2</v>
      </c>
      <c r="U109" s="26">
        <v>2</v>
      </c>
      <c r="V109" s="26">
        <v>2</v>
      </c>
      <c r="W109" s="26">
        <v>2</v>
      </c>
      <c r="X109" s="26">
        <v>2</v>
      </c>
      <c r="Y109" s="26">
        <v>2</v>
      </c>
      <c r="Z109" s="26">
        <v>2</v>
      </c>
      <c r="AA109" s="26">
        <v>2</v>
      </c>
      <c r="AB109" s="26">
        <v>2</v>
      </c>
      <c r="AC109" s="26">
        <v>2</v>
      </c>
      <c r="AD109" s="26">
        <v>2</v>
      </c>
      <c r="AE109" s="26">
        <v>2</v>
      </c>
      <c r="AF109" s="26">
        <v>2</v>
      </c>
      <c r="AG109" s="26">
        <v>2</v>
      </c>
      <c r="AH109" s="26">
        <v>2</v>
      </c>
      <c r="AI109" s="26">
        <v>2</v>
      </c>
      <c r="AJ109" s="26">
        <v>2</v>
      </c>
      <c r="AK109" s="26">
        <v>2</v>
      </c>
      <c r="AL109" s="28">
        <v>0</v>
      </c>
      <c r="AM109" s="26">
        <v>0</v>
      </c>
    </row>
    <row r="110" spans="1:39">
      <c r="A110" s="60"/>
      <c r="B110" s="77" t="s">
        <v>228</v>
      </c>
      <c r="C110" s="49" t="s">
        <v>211</v>
      </c>
      <c r="D110" s="50"/>
      <c r="E110" s="82" t="s">
        <v>19</v>
      </c>
      <c r="F110" s="81"/>
      <c r="G110" s="26">
        <v>5</v>
      </c>
      <c r="H110" s="26">
        <v>5</v>
      </c>
      <c r="I110" s="26">
        <v>5</v>
      </c>
      <c r="J110" s="26">
        <v>5</v>
      </c>
      <c r="K110" s="26">
        <v>5</v>
      </c>
      <c r="L110" s="26">
        <v>5</v>
      </c>
      <c r="M110" s="26">
        <v>5</v>
      </c>
      <c r="N110" s="26">
        <v>5</v>
      </c>
      <c r="O110" s="26">
        <v>5</v>
      </c>
      <c r="P110" s="26">
        <v>5</v>
      </c>
      <c r="Q110" s="26">
        <v>5</v>
      </c>
      <c r="R110" s="26">
        <v>5</v>
      </c>
      <c r="S110" s="26">
        <v>5</v>
      </c>
      <c r="T110" s="26">
        <v>5</v>
      </c>
      <c r="U110" s="26">
        <v>5</v>
      </c>
      <c r="V110" s="26">
        <v>5</v>
      </c>
      <c r="W110" s="26">
        <v>5</v>
      </c>
      <c r="X110" s="26">
        <v>5</v>
      </c>
      <c r="Y110" s="26">
        <v>5</v>
      </c>
      <c r="Z110" s="26">
        <v>5</v>
      </c>
      <c r="AA110" s="26">
        <v>5</v>
      </c>
      <c r="AB110" s="26">
        <v>5</v>
      </c>
      <c r="AC110" s="26">
        <v>5</v>
      </c>
      <c r="AD110" s="26">
        <v>5</v>
      </c>
      <c r="AE110" s="26">
        <v>5</v>
      </c>
      <c r="AF110" s="26">
        <v>5</v>
      </c>
      <c r="AG110" s="26">
        <v>5</v>
      </c>
      <c r="AH110" s="26">
        <v>5</v>
      </c>
      <c r="AI110" s="26">
        <v>5</v>
      </c>
      <c r="AJ110" s="26">
        <v>5</v>
      </c>
      <c r="AK110" s="26">
        <v>5</v>
      </c>
      <c r="AL110" s="26">
        <v>5</v>
      </c>
      <c r="AM110" s="28">
        <v>0</v>
      </c>
    </row>
    <row r="111" spans="1:39">
      <c r="A111" s="60"/>
      <c r="B111" s="61"/>
      <c r="C111" s="49" t="s">
        <v>212</v>
      </c>
      <c r="D111" s="50"/>
      <c r="E111" s="82" t="s">
        <v>19</v>
      </c>
      <c r="F111" s="81"/>
      <c r="G111" s="26">
        <v>5</v>
      </c>
      <c r="H111" s="26">
        <v>5</v>
      </c>
      <c r="I111" s="26">
        <v>5</v>
      </c>
      <c r="J111" s="26">
        <v>5</v>
      </c>
      <c r="K111" s="26">
        <v>5</v>
      </c>
      <c r="L111" s="26">
        <v>5</v>
      </c>
      <c r="M111" s="26">
        <v>5</v>
      </c>
      <c r="N111" s="26">
        <v>5</v>
      </c>
      <c r="O111" s="26">
        <v>5</v>
      </c>
      <c r="P111" s="26">
        <v>5</v>
      </c>
      <c r="Q111" s="26">
        <v>5</v>
      </c>
      <c r="R111" s="26">
        <v>5</v>
      </c>
      <c r="S111" s="26">
        <v>5</v>
      </c>
      <c r="T111" s="26">
        <v>5</v>
      </c>
      <c r="U111" s="26">
        <v>5</v>
      </c>
      <c r="V111" s="26">
        <v>5</v>
      </c>
      <c r="W111" s="26">
        <v>5</v>
      </c>
      <c r="X111" s="26">
        <v>5</v>
      </c>
      <c r="Y111" s="26">
        <v>5</v>
      </c>
      <c r="Z111" s="26">
        <v>5</v>
      </c>
      <c r="AA111" s="26">
        <v>5</v>
      </c>
      <c r="AB111" s="26">
        <v>5</v>
      </c>
      <c r="AC111" s="26">
        <v>5</v>
      </c>
      <c r="AD111" s="26">
        <v>5</v>
      </c>
      <c r="AE111" s="26">
        <v>5</v>
      </c>
      <c r="AF111" s="26">
        <v>5</v>
      </c>
      <c r="AG111" s="26">
        <v>5</v>
      </c>
      <c r="AH111" s="26">
        <v>5</v>
      </c>
      <c r="AI111" s="26">
        <v>5</v>
      </c>
      <c r="AJ111" s="26">
        <v>5</v>
      </c>
      <c r="AK111" s="26">
        <v>5</v>
      </c>
      <c r="AL111" s="26">
        <v>5</v>
      </c>
      <c r="AM111" s="28">
        <v>0</v>
      </c>
    </row>
    <row r="112" spans="1:39">
      <c r="A112" s="60"/>
      <c r="B112" s="85" t="s">
        <v>13</v>
      </c>
      <c r="C112" s="86"/>
      <c r="D112" s="87"/>
      <c r="E112" s="83" t="s">
        <v>11</v>
      </c>
      <c r="F112" s="84"/>
      <c r="G112" s="66">
        <f>SUM(G16:G111)</f>
        <v>173</v>
      </c>
      <c r="H112" s="52"/>
      <c r="I112" s="26">
        <f t="shared" ref="I112:AM112" si="0">SUM(I16:I111)</f>
        <v>179</v>
      </c>
      <c r="J112" s="26">
        <f t="shared" si="0"/>
        <v>168</v>
      </c>
      <c r="K112" s="26">
        <f>SUM(K16:K111)-K18</f>
        <v>165</v>
      </c>
      <c r="L112" s="26">
        <f t="shared" si="0"/>
        <v>159</v>
      </c>
      <c r="M112" s="26">
        <f t="shared" si="0"/>
        <v>154</v>
      </c>
      <c r="N112" s="26">
        <f>SUM(N16:N111)-N32</f>
        <v>143</v>
      </c>
      <c r="O112" s="26">
        <f t="shared" si="0"/>
        <v>139</v>
      </c>
      <c r="P112" s="26">
        <f t="shared" si="0"/>
        <v>131</v>
      </c>
      <c r="Q112" s="26">
        <f>SUM(Q16:Q111)-Q45</f>
        <v>121</v>
      </c>
      <c r="R112" s="26">
        <f>SUM(R16:R111)-R48</f>
        <v>118</v>
      </c>
      <c r="S112" s="26">
        <f t="shared" si="0"/>
        <v>114</v>
      </c>
      <c r="T112" s="26">
        <f t="shared" si="0"/>
        <v>108</v>
      </c>
      <c r="U112" s="26">
        <f>SUM(U16:U111)-U54</f>
        <v>104</v>
      </c>
      <c r="V112" s="26">
        <f t="shared" si="0"/>
        <v>102</v>
      </c>
      <c r="W112" s="26">
        <f t="shared" si="0"/>
        <v>97</v>
      </c>
      <c r="X112" s="26">
        <f t="shared" si="0"/>
        <v>93</v>
      </c>
      <c r="Y112" s="26">
        <f t="shared" si="0"/>
        <v>89</v>
      </c>
      <c r="Z112" s="26">
        <f t="shared" si="0"/>
        <v>85</v>
      </c>
      <c r="AA112" s="26">
        <f t="shared" si="0"/>
        <v>75</v>
      </c>
      <c r="AB112" s="26">
        <f>SUM(AB16:AB111)-AB72</f>
        <v>67</v>
      </c>
      <c r="AC112" s="26">
        <f t="shared" si="0"/>
        <v>61</v>
      </c>
      <c r="AD112" s="26">
        <f t="shared" si="0"/>
        <v>56</v>
      </c>
      <c r="AE112" s="26">
        <f t="shared" si="0"/>
        <v>53</v>
      </c>
      <c r="AF112" s="26">
        <f>SUM(AF16:AF111)-AF85</f>
        <v>49</v>
      </c>
      <c r="AG112" s="26">
        <f t="shared" si="0"/>
        <v>45</v>
      </c>
      <c r="AH112" s="26">
        <f t="shared" si="0"/>
        <v>36</v>
      </c>
      <c r="AI112" s="26">
        <f t="shared" si="0"/>
        <v>31</v>
      </c>
      <c r="AJ112" s="26">
        <f>SUM(AJ16:AJ111)-AJ98</f>
        <v>26</v>
      </c>
      <c r="AK112" s="26">
        <f t="shared" si="0"/>
        <v>23</v>
      </c>
      <c r="AL112" s="26">
        <f t="shared" si="0"/>
        <v>10</v>
      </c>
      <c r="AM112" s="26">
        <f t="shared" si="0"/>
        <v>0</v>
      </c>
    </row>
    <row r="113" spans="1:39">
      <c r="A113" s="61"/>
      <c r="B113" s="88"/>
      <c r="C113" s="89"/>
      <c r="D113" s="90"/>
      <c r="E113" s="83" t="s">
        <v>12</v>
      </c>
      <c r="F113" s="84"/>
      <c r="G113" s="66">
        <f>SUM(H16:H111)</f>
        <v>181</v>
      </c>
      <c r="H113" s="52"/>
      <c r="I113" s="26">
        <f t="shared" ref="I113:Z113" si="1">SUM(I16:I111)</f>
        <v>179</v>
      </c>
      <c r="J113" s="26">
        <f>SUM(J16:J111)+K18</f>
        <v>169</v>
      </c>
      <c r="K113" s="26">
        <f>SUM(K16:K111)-K18</f>
        <v>165</v>
      </c>
      <c r="L113" s="26">
        <f t="shared" si="1"/>
        <v>159</v>
      </c>
      <c r="M113" s="26">
        <f>SUM(M16:M111)+N32</f>
        <v>155</v>
      </c>
      <c r="N113" s="26">
        <f>SUM(N16:N111)-N32</f>
        <v>143</v>
      </c>
      <c r="O113" s="26">
        <f t="shared" si="1"/>
        <v>139</v>
      </c>
      <c r="P113" s="26">
        <f>SUM(P16:P111)+Q45</f>
        <v>134</v>
      </c>
      <c r="Q113" s="26">
        <f>SUM(Q16:Q111)+R48-Q45</f>
        <v>122</v>
      </c>
      <c r="R113" s="26">
        <f>SUM(R16:R111)-R48</f>
        <v>118</v>
      </c>
      <c r="S113" s="26">
        <f t="shared" si="1"/>
        <v>114</v>
      </c>
      <c r="T113" s="26">
        <f>SUM(T16:T111)+U54</f>
        <v>109</v>
      </c>
      <c r="U113" s="26">
        <f>SUM(U16:U111)+V58-U54</f>
        <v>105</v>
      </c>
      <c r="V113" s="26">
        <f t="shared" si="1"/>
        <v>102</v>
      </c>
      <c r="W113" s="26">
        <f t="shared" si="1"/>
        <v>97</v>
      </c>
      <c r="X113" s="26">
        <f t="shared" si="1"/>
        <v>93</v>
      </c>
      <c r="Y113" s="26">
        <f t="shared" si="1"/>
        <v>89</v>
      </c>
      <c r="Z113" s="26">
        <f t="shared" si="1"/>
        <v>85</v>
      </c>
      <c r="AA113" s="26">
        <f>SUM(AA16:AA111)+AB72</f>
        <v>77</v>
      </c>
      <c r="AB113" s="26">
        <f>SUM(AB16:AB111)-AB72</f>
        <v>67</v>
      </c>
      <c r="AC113" s="26">
        <f t="shared" ref="AC113:AM113" si="2">SUM(AC16:AC111)</f>
        <v>61</v>
      </c>
      <c r="AD113" s="26">
        <f t="shared" si="2"/>
        <v>56</v>
      </c>
      <c r="AE113" s="26">
        <f>SUM(AE16:AE111)+AF85</f>
        <v>54</v>
      </c>
      <c r="AF113" s="26">
        <f>SUM(AF16:AF111)+AG89-AF85</f>
        <v>50</v>
      </c>
      <c r="AG113" s="26">
        <f t="shared" si="2"/>
        <v>45</v>
      </c>
      <c r="AH113" s="26">
        <f t="shared" si="2"/>
        <v>36</v>
      </c>
      <c r="AI113" s="26">
        <f>SUM(AI16:AI111)+AJ98</f>
        <v>32</v>
      </c>
      <c r="AJ113" s="26">
        <f>SUM(AJ16:AJ111)-AJ98</f>
        <v>26</v>
      </c>
      <c r="AK113" s="26">
        <f>SUM(AK16:AK111)-AK102</f>
        <v>22</v>
      </c>
      <c r="AL113" s="26">
        <f t="shared" si="2"/>
        <v>10</v>
      </c>
      <c r="AM113" s="26">
        <f t="shared" si="2"/>
        <v>0</v>
      </c>
    </row>
  </sheetData>
  <mergeCells count="213">
    <mergeCell ref="C98:D98"/>
    <mergeCell ref="E98:F98"/>
    <mergeCell ref="C99:D99"/>
    <mergeCell ref="E99:F99"/>
    <mergeCell ref="C107:D107"/>
    <mergeCell ref="E107:F107"/>
    <mergeCell ref="C108:D108"/>
    <mergeCell ref="E108:F108"/>
    <mergeCell ref="C67:D67"/>
    <mergeCell ref="E67:F67"/>
    <mergeCell ref="C68:D68"/>
    <mergeCell ref="E68:F68"/>
    <mergeCell ref="C69:D69"/>
    <mergeCell ref="E69:F69"/>
    <mergeCell ref="C70:D70"/>
    <mergeCell ref="E70:F70"/>
    <mergeCell ref="C100:D100"/>
    <mergeCell ref="E100:F100"/>
    <mergeCell ref="C101:D101"/>
    <mergeCell ref="E101:F101"/>
    <mergeCell ref="C94:D94"/>
    <mergeCell ref="E94:F94"/>
    <mergeCell ref="C95:D95"/>
    <mergeCell ref="E95:F95"/>
    <mergeCell ref="C109:D109"/>
    <mergeCell ref="E109:F109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10:D110"/>
    <mergeCell ref="E110:F110"/>
    <mergeCell ref="C111:D111"/>
    <mergeCell ref="E111:F111"/>
    <mergeCell ref="E112:F112"/>
    <mergeCell ref="G112:H112"/>
    <mergeCell ref="E113:F113"/>
    <mergeCell ref="G113:H113"/>
    <mergeCell ref="B112:D113"/>
    <mergeCell ref="C93:D93"/>
    <mergeCell ref="E93:F93"/>
    <mergeCell ref="C96:D96"/>
    <mergeCell ref="E96:F96"/>
    <mergeCell ref="C97:D97"/>
    <mergeCell ref="E97:F97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80:D80"/>
    <mergeCell ref="E80:F80"/>
    <mergeCell ref="C83:D83"/>
    <mergeCell ref="E83:F83"/>
    <mergeCell ref="C84:D84"/>
    <mergeCell ref="E84:F84"/>
    <mergeCell ref="C85:D85"/>
    <mergeCell ref="E85:F85"/>
    <mergeCell ref="C81:D81"/>
    <mergeCell ref="E81:F81"/>
    <mergeCell ref="C82:D82"/>
    <mergeCell ref="E82:F82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72:D72"/>
    <mergeCell ref="E72:F72"/>
    <mergeCell ref="C73:D73"/>
    <mergeCell ref="E73:F73"/>
    <mergeCell ref="C74:D74"/>
    <mergeCell ref="E74:F74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58:D58"/>
    <mergeCell ref="E58:F58"/>
    <mergeCell ref="C59:D59"/>
    <mergeCell ref="E59:F59"/>
    <mergeCell ref="C60:D60"/>
    <mergeCell ref="E60:F60"/>
    <mergeCell ref="C61:D61"/>
    <mergeCell ref="E61:F61"/>
    <mergeCell ref="C71:D71"/>
    <mergeCell ref="E71:F71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41:D41"/>
    <mergeCell ref="E41:F41"/>
    <mergeCell ref="C44:D44"/>
    <mergeCell ref="E44:F44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40:D40"/>
    <mergeCell ref="E40:F40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E20:F20"/>
    <mergeCell ref="B20:B32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31:D31"/>
    <mergeCell ref="E31:F31"/>
    <mergeCell ref="C29:D29"/>
    <mergeCell ref="E29:F29"/>
    <mergeCell ref="C30:D30"/>
    <mergeCell ref="E30:F30"/>
    <mergeCell ref="A1:B1"/>
    <mergeCell ref="A2:B2"/>
    <mergeCell ref="A3:B3"/>
    <mergeCell ref="A4:B4"/>
    <mergeCell ref="B6:E6"/>
    <mergeCell ref="B13:C13"/>
    <mergeCell ref="C15:D15"/>
    <mergeCell ref="E15:F15"/>
    <mergeCell ref="B16:D16"/>
    <mergeCell ref="E16:F16"/>
    <mergeCell ref="A16:A113"/>
    <mergeCell ref="B33:B45"/>
    <mergeCell ref="B46:B72"/>
    <mergeCell ref="B73:B83"/>
    <mergeCell ref="B84:B96"/>
    <mergeCell ref="B97:B109"/>
    <mergeCell ref="B110:B111"/>
    <mergeCell ref="B17:D17"/>
    <mergeCell ref="E17:F17"/>
    <mergeCell ref="B18:D18"/>
    <mergeCell ref="E18:F18"/>
    <mergeCell ref="B19:D19"/>
    <mergeCell ref="E19:F19"/>
    <mergeCell ref="C20:D20"/>
  </mergeCells>
  <pageMargins left="0.7" right="0.7" top="0.75" bottom="0.75" header="0.3" footer="0.3"/>
  <pageSetup orientation="portrait" horizontalDpi="1200" verticalDpi="12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B7" sqref="B7"/>
    </sheetView>
  </sheetViews>
  <sheetFormatPr defaultColWidth="9" defaultRowHeight="14.4"/>
  <cols>
    <col min="2" max="9" width="10" customWidth="1"/>
  </cols>
  <sheetData>
    <row r="1" spans="1:9" ht="16.8">
      <c r="A1" s="95" t="s">
        <v>213</v>
      </c>
      <c r="B1" s="96"/>
      <c r="C1" s="96"/>
      <c r="D1" s="96"/>
      <c r="E1" s="96"/>
      <c r="F1" s="96"/>
      <c r="G1" s="96"/>
      <c r="H1" s="96"/>
      <c r="I1" s="96"/>
    </row>
    <row r="2" spans="1:9" ht="16.8">
      <c r="A2" s="94"/>
      <c r="B2" s="97" t="s">
        <v>229</v>
      </c>
      <c r="C2" s="98"/>
      <c r="D2" s="97" t="s">
        <v>230</v>
      </c>
      <c r="E2" s="98"/>
      <c r="F2" s="97" t="s">
        <v>224</v>
      </c>
      <c r="G2" s="98"/>
      <c r="H2" s="97" t="s">
        <v>231</v>
      </c>
      <c r="I2" s="98"/>
    </row>
    <row r="3" spans="1:9" ht="16.8">
      <c r="A3" s="94"/>
      <c r="B3" s="1" t="s">
        <v>11</v>
      </c>
      <c r="C3" s="1" t="s">
        <v>12</v>
      </c>
      <c r="D3" s="1" t="s">
        <v>11</v>
      </c>
      <c r="E3" s="1" t="s">
        <v>12</v>
      </c>
      <c r="F3" s="1" t="s">
        <v>11</v>
      </c>
      <c r="G3" s="1" t="s">
        <v>12</v>
      </c>
      <c r="H3" s="1" t="s">
        <v>11</v>
      </c>
      <c r="I3" s="1" t="s">
        <v>12</v>
      </c>
    </row>
    <row r="4" spans="1:9" ht="16.8">
      <c r="A4" s="2" t="s">
        <v>3</v>
      </c>
      <c r="B4" s="3">
        <f ca="1">'Sprint 1'!$D$8</f>
        <v>37</v>
      </c>
      <c r="C4" s="3">
        <f ca="1">'Sprint 1'!$E$8</f>
        <v>41.5</v>
      </c>
      <c r="D4" s="3">
        <f ca="1">'Sprint 1'!$D$9</f>
        <v>28.5</v>
      </c>
      <c r="E4" s="3">
        <f ca="1">'Sprint 1'!$E$9</f>
        <v>31.5</v>
      </c>
      <c r="F4" s="3">
        <f ca="1">'Sprint 1'!$D$10</f>
        <v>38.5</v>
      </c>
      <c r="G4" s="3">
        <f ca="1">'Sprint 1'!$E$10</f>
        <v>40.5</v>
      </c>
      <c r="H4" s="3">
        <f ca="1">'Sprint 1'!$D$11</f>
        <v>33</v>
      </c>
      <c r="I4" s="3">
        <f ca="1">'Sprint 1'!$E$11</f>
        <v>36.5</v>
      </c>
    </row>
    <row r="5" spans="1:9" ht="16.8">
      <c r="A5" s="2" t="s">
        <v>84</v>
      </c>
      <c r="B5" s="3">
        <f ca="1">'Sprint 2'!$D$8</f>
        <v>51</v>
      </c>
      <c r="C5" s="3">
        <f ca="1">'Sprint 2'!$E$8</f>
        <v>56</v>
      </c>
      <c r="D5" s="3">
        <f ca="1">'Sprint 2'!$D$9</f>
        <v>33.5</v>
      </c>
      <c r="E5" s="3">
        <f ca="1">'Sprint 2'!$E$9</f>
        <v>35</v>
      </c>
      <c r="F5" s="3">
        <f ca="1">'Sprint 2'!$D$10</f>
        <v>36.5</v>
      </c>
      <c r="G5" s="3">
        <f ca="1">'Sprint 2'!$E$10</f>
        <v>39</v>
      </c>
      <c r="H5" s="3">
        <f ca="1">'Sprint 2'!$D$11</f>
        <v>30</v>
      </c>
      <c r="I5" s="3">
        <f ca="1">'Sprint 2'!$E$11</f>
        <v>35</v>
      </c>
    </row>
    <row r="6" spans="1:9" ht="16.8">
      <c r="A6" s="2" t="s">
        <v>153</v>
      </c>
      <c r="B6" s="3">
        <f ca="1">'Sprint 3'!$D$8</f>
        <v>65.5</v>
      </c>
      <c r="C6" s="3">
        <f ca="1">'Sprint 3'!$E$8</f>
        <v>69</v>
      </c>
      <c r="D6" s="3">
        <f ca="1">'Sprint 3'!$D$9</f>
        <v>40</v>
      </c>
      <c r="E6" s="3">
        <f ca="1">'Sprint 3'!$E$9</f>
        <v>43</v>
      </c>
      <c r="F6" s="3">
        <f ca="1">'Sprint 3'!$D$10</f>
        <v>40</v>
      </c>
      <c r="G6" s="3">
        <f ca="1">'Sprint 3'!$E$10</f>
        <v>44</v>
      </c>
      <c r="H6" s="3">
        <f ca="1">'Sprint 3'!$D$11</f>
        <v>27.5</v>
      </c>
      <c r="I6" s="3">
        <f ca="1">'Sprint 3'!$E$11</f>
        <v>25</v>
      </c>
    </row>
    <row r="7" spans="1:9" ht="17.399999999999999" thickBot="1">
      <c r="A7" s="4" t="s">
        <v>13</v>
      </c>
      <c r="B7" s="5">
        <f ca="1">SUM(B4:B6)</f>
        <v>153.5</v>
      </c>
      <c r="C7" s="5">
        <f t="shared" ref="C7:I7" ca="1" si="0">SUM(C4:C6)</f>
        <v>166.5</v>
      </c>
      <c r="D7" s="5">
        <f t="shared" ca="1" si="0"/>
        <v>102</v>
      </c>
      <c r="E7" s="5">
        <f t="shared" ca="1" si="0"/>
        <v>109.5</v>
      </c>
      <c r="F7" s="5">
        <f t="shared" ca="1" si="0"/>
        <v>115</v>
      </c>
      <c r="G7" s="5">
        <f t="shared" ca="1" si="0"/>
        <v>123.5</v>
      </c>
      <c r="H7" s="5">
        <f t="shared" ca="1" si="0"/>
        <v>90.5</v>
      </c>
      <c r="I7" s="5">
        <f t="shared" ca="1" si="0"/>
        <v>96.5</v>
      </c>
    </row>
    <row r="10" spans="1:9" ht="16.8">
      <c r="E10" s="92" t="s">
        <v>214</v>
      </c>
      <c r="F10" s="93"/>
    </row>
    <row r="11" spans="1:9" ht="16.8">
      <c r="E11" s="6" t="s">
        <v>11</v>
      </c>
      <c r="F11" s="7">
        <f ca="1">SUMIF($B$3:$I$3,"Thực tế",$B$7:$I$7)</f>
        <v>461</v>
      </c>
    </row>
    <row r="12" spans="1:9" ht="17.399999999999999" thickBot="1">
      <c r="E12" s="8" t="s">
        <v>12</v>
      </c>
      <c r="F12" s="9">
        <f ca="1">SUMIF($B$3:$I$3,"Ước tính",$B$7:$I$7)</f>
        <v>496</v>
      </c>
    </row>
  </sheetData>
  <mergeCells count="7">
    <mergeCell ref="E10:F10"/>
    <mergeCell ref="A2:A3"/>
    <mergeCell ref="A1:I1"/>
    <mergeCell ref="B2:C2"/>
    <mergeCell ref="D2:E2"/>
    <mergeCell ref="F2:G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dcterms:created xsi:type="dcterms:W3CDTF">2021-04-23T08:05:00Z</dcterms:created>
  <dcterms:modified xsi:type="dcterms:W3CDTF">2025-12-18T06:26:42Z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D2423796D2C942369F4713935CF84027_12</vt:lpwstr>
  </property>
  <property fmtid="{D5CDD505-2E9C-101B-9397-08002B2CF9AE}" pid="3" name="KSOProductBuildVer">
    <vt:lpwstr>1033-12.2.0.21179</vt:lpwstr>
  </property>
</Properties>
</file>